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ướng dẫn" sheetId="1" state="visible" r:id="rId3"/>
    <sheet name="100 Case" sheetId="2" state="visible" r:id="rId4"/>
    <sheet name="Tiến độ" sheetId="3" state="visible" r:id="rId5"/>
  </sheets>
  <definedNames>
    <definedName function="false" hidden="true" localSheetId="1" name="_xlnm._FilterDatabase" vbProcedure="false">'100 Case'!$A$1:$K$101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<sst xmlns="http://schemas.openxmlformats.org/spreadsheetml/2006/main" count="1039" uniqueCount="601">
  <si>
    <t xml:space="preserve">CÁCH DÙNG</t>
  </si>
  <si>
    <t xml:space="preserve">1. Chỉ sửa 2 cột: 'Trạng thái' (chọn từ danh sách) và 'Ghi chú của bạn'. Sheet 'Tiến độ' tự cập nhật.</t>
  </si>
  <si>
    <t xml:space="preserve">   Ví dụ một dòng đã làm: Trạng thái = 'Đã xử lý', Ghi chú = 'Sửa bằng JOIN FETCH, 51 → 1 query; @EntityGraph cũng được'.</t>
  </si>
  <si>
    <t xml:space="preserve">2. Mỗi case: đọc Triệu chứng → tự đoán nguyên nhân TRƯỚC khi mở Manh mối → làm Bài tập tái hiện trên project ecommerce-daily.</t>
  </si>
  <si>
    <t xml:space="preserve">3. Cột 'Manh mối' cố ý chỉ là câu hỏi gợi hướng, không phải đáp án. Bí sau 2 lần thử → mang case vào chat mentor.</t>
  </si>
  <si>
    <t xml:space="preserve">4. 'Ưu tiên = Cao': case gắn với mục trong On_luyen_Java_Middle.xlsx mà bạn CHƯA đạt (#10–13, 15, 16, 18–22, 24) tại ngày 25/10/2026.</t>
  </si>
  <si>
    <t xml:space="preserve">   'Ôn lại' = gắn với mục đã đạt (dùng để kiểm chứng). 'Thường' = ngoài 25 mục lộ trình.</t>
  </si>
  <si>
    <t xml:space="preserve">THỨ TỰ GỢI Ý</t>
  </si>
  <si>
    <t xml:space="preserve">• Tuần này: P01–P04 (JPA, mục #12–13) và P11–P14 (Index, mục #15) — đây là lỗ hổng lớn nhất so với JD.</t>
  </si>
  <si>
    <t xml:space="preserve">• Junior: làm nhanh, chỉ dừng lại ở case nào bạn đoán sai nguyên nhân.</t>
  </si>
  <si>
    <t xml:space="preserve">• Middle: làm sau khi Pre-middle đạt ≥ 70%. Mỗi case Middle nên ra được 1 câu chuyện kể khi phỏng vấn.</t>
  </si>
  <si>
    <t xml:space="preserve">CẤP ĐỘ</t>
  </si>
  <si>
    <t xml:space="preserve">Junior: lỗi do hiểu sai API/ngôn ngữ, sửa trong 1 file.</t>
  </si>
  <si>
    <t xml:space="preserve">Pre-middle: lỗi do cơ chế framework, DB, concurrency trong 1 service; cần đo đạc để chứng minh.</t>
  </si>
  <si>
    <t xml:space="preserve">Middle: lỗi xuyên hệ thống, nhiều instance/service; cần thiết kế và đánh đổi, không có một đáp án đúng duy nhất.</t>
  </si>
  <si>
    <t xml:space="preserve">ID</t>
  </si>
  <si>
    <t xml:space="preserve">Cấp độ</t>
  </si>
  <si>
    <t xml:space="preserve">Mảng</t>
  </si>
  <si>
    <t xml:space="preserve">Tên case</t>
  </si>
  <si>
    <t xml:space="preserve">Triệu chứng (như ticket thật)</t>
  </si>
  <si>
    <t xml:space="preserve">Manh mối để tự đào</t>
  </si>
  <si>
    <t xml:space="preserve">Bài tập tái hiện</t>
  </si>
  <si>
    <t xml:space="preserve">Lộ trình (On_luyen #)</t>
  </si>
  <si>
    <t xml:space="preserve">Ưu tiên</t>
  </si>
  <si>
    <t xml:space="preserve">Trạng thái</t>
  </si>
  <si>
    <t xml:space="preserve">Ghi chú của bạn</t>
  </si>
  <si>
    <t xml:space="preserve">J01</t>
  </si>
  <si>
    <t xml:space="preserve">Junior</t>
  </si>
  <si>
    <t xml:space="preserve">Collections</t>
  </si>
  <si>
    <t xml:space="preserve">Object biến mất khỏi HashSet</t>
  </si>
  <si>
    <t xml:space="preserve">User vẫn đang online nhưng cache báo 'không tìm thấy' ngay sau khi user đổi email.</t>
  </si>
  <si>
    <t xml:space="preserve">hashCode() của User tính từ field nào? Field đó đổi SAU khi object đã nằm trong bucket thì contains() tìm ở bucket nào?</t>
  </si>
  <si>
    <t xml:space="preserve">Cho User vào HashSet, đổi email, gọi contains() và remove(). Đoán output trước khi chạy.</t>
  </si>
  <si>
    <t xml:space="preserve">#1</t>
  </si>
  <si>
    <t xml:space="preserve">Ôn lại</t>
  </si>
  <si>
    <t xml:space="preserve">Chưa làm</t>
  </si>
  <si>
    <t xml:space="preserve">J02</t>
  </si>
  <si>
    <t xml:space="preserve">Set vẫn chứa phần tử trùng</t>
  </si>
  <si>
    <t xml:space="preserve">Giỏ hàng hiển thị 2 dòng cùng một sản phẩm dù code dùng HashSet&lt;CartItem&gt;.</t>
  </si>
  <si>
    <t xml:space="preserve">Class đã override equals() nhưng còn thiếu gì? Hai object 'bằng nhau' rơi vào cùng bucket không?</t>
  </si>
  <si>
    <t xml:space="preserve">Viết CartItem chỉ override equals, add 2 item giống nhau, in size(). Sửa rồi so sánh.</t>
  </si>
  <si>
    <t xml:space="preserve">J03</t>
  </si>
  <si>
    <t xml:space="preserve">Core Java</t>
  </si>
  <si>
    <t xml:space="preserve">So sánh Integer bằng ==</t>
  </si>
  <si>
    <t xml:space="preserve">Duyệt đơn chạy đúng với đơn id nhỏ, nhưng sai với orderId &gt; 127.</t>
  </si>
  <si>
    <t xml:space="preserve">Vì sao lại là đúng con số 127? Autoboxing có cache gì không?</t>
  </si>
  <si>
    <t xml:space="preserve">Test so sánh Integer 100 và 1000 bằng == và equals().</t>
  </si>
  <si>
    <t xml:space="preserve">—</t>
  </si>
  <si>
    <t xml:space="preserve">Thường</t>
  </si>
  <si>
    <t xml:space="preserve">J04</t>
  </si>
  <si>
    <t xml:space="preserve">Tiền lệch vài đồng</t>
  </si>
  <si>
    <t xml:space="preserve">Tổng hóa đơn lệch 0.01 so với tổng cộng tay; BigDecimal 2.0 và 2.00 bị coi là khác nhau.</t>
  </si>
  <si>
    <t xml:space="preserve">double biểu diễn 0.1 thế nào trong nhị phân? equals() của BigDecimal so sánh cả scale?</t>
  </si>
  <si>
    <t xml:space="preserve">Cộng 0.1 mười lần bằng double và BigDecimal; so sánh equals vs compareTo.</t>
  </si>
  <si>
    <t xml:space="preserve">J05</t>
  </si>
  <si>
    <t xml:space="preserve">NPE từ Optional.get()</t>
  </si>
  <si>
    <t xml:space="preserve">API /profile trả 500 với user chưa có avatar.</t>
  </si>
  <si>
    <t xml:space="preserve">Optional.get() có khác gì so với việc gọi thẳng vào null? Có API nào diễn đạt giá trị mặc định?</t>
  </si>
  <si>
    <t xml:space="preserve">Viết lại hàm lấy avatarUrl không dùng get() và không dùng if-null.</t>
  </si>
  <si>
    <t xml:space="preserve">J06</t>
  </si>
  <si>
    <t xml:space="preserve">ConcurrentModificationException</t>
  </si>
  <si>
    <t xml:space="preserve">Job dọn đơn hết hạn ném exception khi gọi list.remove() trong vòng for-each.</t>
  </si>
  <si>
    <t xml:space="preserve">for-each dùng Iterator bên dưới; Iterator phát hiện list bị sửa bằng cơ chế gì (modCount)?</t>
  </si>
  <si>
    <t xml:space="preserve">Tái hiện lỗi, rồi sửa theo 2 cách: Iterator.remove() và removeIf().</t>
  </si>
  <si>
    <t xml:space="preserve">J07</t>
  </si>
  <si>
    <t xml:space="preserve">Date/Time</t>
  </si>
  <si>
    <t xml:space="preserve">Đơn nhảy sang ngày hôm sau</t>
  </si>
  <si>
    <t xml:space="preserve">Đơn đặt lúc 23h giờ VN hiển thị trong báo cáo là ngày hôm sau.</t>
  </si>
  <si>
    <t xml:space="preserve">Server, DB và JVM đang dùng timezone nào? LocalDateTime có mang thông tin múi giờ không?</t>
  </si>
  <si>
    <t xml:space="preserve">Lưu một LocalDateTime và một Instant vào DB với JVM timezone UTC, đọc lại ở Asia/Saigon.</t>
  </si>
  <si>
    <t xml:space="preserve">J08</t>
  </si>
  <si>
    <t xml:space="preserve">Error handling</t>
  </si>
  <si>
    <t xml:space="preserve">Exception bị nuốt</t>
  </si>
  <si>
    <t xml:space="preserve">Import file Excel báo 'thành công' nhưng DB thiếu 30 dòng.</t>
  </si>
  <si>
    <t xml:space="preserve">Tìm khối catch rỗng hoặc chỉ printStackTrace(). Người dùng và log biết lỗi bằng cách nào?</t>
  </si>
  <si>
    <t xml:space="preserve">Viết import có 1 dòng lỗi; thiết kế kết quả trả về gồm số dòng OK và danh sách dòng lỗi.</t>
  </si>
  <si>
    <t xml:space="preserve">J09</t>
  </si>
  <si>
    <t xml:space="preserve">Validation</t>
  </si>
  <si>
    <t xml:space="preserve">@NotBlank không có tác dụng</t>
  </si>
  <si>
    <t xml:space="preserve">API tạo user vẫn nhận email rỗng dù DTO đã gắn @NotBlank.</t>
  </si>
  <si>
    <t xml:space="preserve">Annotation chỉ là metadata. Ai kích hoạt việc validate DTO trong controller?</t>
  </si>
  <si>
    <t xml:space="preserve">Viết test MockMvc gửi email rỗng, mong 400; sửa cho test xanh.</t>
  </si>
  <si>
    <t xml:space="preserve">J10</t>
  </si>
  <si>
    <t xml:space="preserve">REST API</t>
  </si>
  <si>
    <t xml:space="preserve">Trả 200 kèm body lỗi</t>
  </si>
  <si>
    <t xml:space="preserve">Frontend không hiển thị lỗi vì API luôn trả HTTP 200 với {success:false}.</t>
  </si>
  <si>
    <t xml:space="preserve">Client, gateway, monitoring dựa vào đâu để biết request thất bại?</t>
  </si>
  <si>
    <t xml:space="preserve">Liệt kê status code phù hợp cho: sai input, chưa login, không có quyền, không tìm thấy, xung đột.</t>
  </si>
  <si>
    <t xml:space="preserve">#16</t>
  </si>
  <si>
    <t xml:space="preserve">Cao</t>
  </si>
  <si>
    <t xml:space="preserve">J11</t>
  </si>
  <si>
    <t xml:space="preserve">Security</t>
  </si>
  <si>
    <t xml:space="preserve">Lộ stacktrace ra client</t>
  </si>
  <si>
    <t xml:space="preserve">Response lỗi chứa tên class, câu SQL và đường dẫn file server.</t>
  </si>
  <si>
    <t xml:space="preserve">Kẻ tấn công học được gì từ stacktrace? Lỗi nên được định dạng tập trung ở đâu?</t>
  </si>
  <si>
    <t xml:space="preserve">Viết @RestControllerAdvice trả format lỗi thống nhất, log chi tiết ở server.</t>
  </si>
  <si>
    <t xml:space="preserve">J12</t>
  </si>
  <si>
    <t xml:space="preserve">JPA</t>
  </si>
  <si>
    <t xml:space="preserve">findAll() trả cả bảng</t>
  </si>
  <si>
    <t xml:space="preserve">Trang danh sách khách hàng chậm dần rồi OutOfMemoryError khi bảng đạt 500k dòng.</t>
  </si>
  <si>
    <t xml:space="preserve">Bao nhiêu object được tạo trong heap cho một request? Ai thực sự cần cả 500k dòng?</t>
  </si>
  <si>
    <t xml:space="preserve">Chuyển endpoint sang Pageable; đo bộ nhớ trước và sau.</t>
  </si>
  <si>
    <t xml:space="preserve">J13</t>
  </si>
  <si>
    <t xml:space="preserve">Logging</t>
  </si>
  <si>
    <t xml:space="preserve">Log lộ dữ liệu nhạy cảm</t>
  </si>
  <si>
    <t xml:space="preserve">Audit phát hiện file log chứa mật khẩu và JWT của người dùng.</t>
  </si>
  <si>
    <t xml:space="preserve">toString() của DTO in những field nào? Log request body ở tầng nào?</t>
  </si>
  <si>
    <t xml:space="preserve">Rà code log; che (mask) field nhạy cảm; viết test kiểm tra log không chứa 'password'.</t>
  </si>
  <si>
    <t xml:space="preserve">J14</t>
  </si>
  <si>
    <t xml:space="preserve">Performance</t>
  </si>
  <si>
    <t xml:space="preserve">Export CSV chậm bất thường</t>
  </si>
  <si>
    <t xml:space="preserve">Xuất 200k dòng mất 3 phút, CPU 100%.</t>
  </si>
  <si>
    <t xml:space="preserve">String là immutable: mỗi lần + trong vòng lặp tạo ra bao nhiêu object mới?</t>
  </si>
  <si>
    <t xml:space="preserve">Benchmark nối chuỗi bằng + và bằng StringBuilder/Writer với 100k dòng.</t>
  </si>
  <si>
    <t xml:space="preserve">J15</t>
  </si>
  <si>
    <t xml:space="preserve">Stream API</t>
  </si>
  <si>
    <t xml:space="preserve">toMap ném IllegalStateException</t>
  </si>
  <si>
    <t xml:space="preserve">Báo cáo crash: 'Duplicate key' khi gom sản phẩm theo SKU.</t>
  </si>
  <si>
    <t xml:space="preserve">Dữ liệu có thật sự unique theo key không? toMap còn tham số nào?</t>
  </si>
  <si>
    <t xml:space="preserve">Tái hiện với 2 SKU trùng, xử lý bằng merge function và bằng groupingBy.</t>
  </si>
  <si>
    <t xml:space="preserve">J16</t>
  </si>
  <si>
    <t xml:space="preserve">Enum lưu bằng ORDINAL</t>
  </si>
  <si>
    <t xml:space="preserve">Sau khi thêm trạng thái mới vào giữa enum, đơn cũ hiển thị sai trạng thái.</t>
  </si>
  <si>
    <t xml:space="preserve">Mặc định @Enumerated lưu thứ tự hay tên? Chèn giá trị vào giữa làm dịch chuyển gì?</t>
  </si>
  <si>
    <t xml:space="preserve">Viết migration chuyển cột status từ số sang chuỗi an toàn.</t>
  </si>
  <si>
    <t xml:space="preserve">J17</t>
  </si>
  <si>
    <t xml:space="preserve">Spring Core</t>
  </si>
  <si>
    <t xml:space="preserve">Không mock được dependency</t>
  </si>
  <si>
    <t xml:space="preserve">Viết unit test cho service rất khó vì dùng @Autowired trên field.</t>
  </si>
  <si>
    <t xml:space="preserve">Không có Spring context thì làm sao đưa mock vào field private?</t>
  </si>
  <si>
    <t xml:space="preserve">Chuyển service sang constructor injection; viết test không cần @SpringBootTest.</t>
  </si>
  <si>
    <t xml:space="preserve">#10</t>
  </si>
  <si>
    <t xml:space="preserve">J18</t>
  </si>
  <si>
    <t xml:space="preserve">Config</t>
  </si>
  <si>
    <t xml:space="preserve">Secret bị commit lên Git</t>
  </si>
  <si>
    <t xml:space="preserve">Mật khẩu DB prod nằm trong application.yml trên repo.</t>
  </si>
  <si>
    <t xml:space="preserve">Xóa khỏi commit mới nhất có đủ không? Lịch sử Git còn giữ gì?</t>
  </si>
  <si>
    <t xml:space="preserve">Đưa secret ra biến môi trường; thêm profile; viết checklist xử lý khi secret đã lộ.</t>
  </si>
  <si>
    <t xml:space="preserve">#8</t>
  </si>
  <si>
    <t xml:space="preserve">J19</t>
  </si>
  <si>
    <t xml:space="preserve">400 khi FE không gửi tham số</t>
  </si>
  <si>
    <t xml:space="preserve">Trang tìm kiếm lỗi 400 khi người dùng để trống bộ lọc.</t>
  </si>
  <si>
    <t xml:space="preserve">@RequestParam mặc định có bắt buộc không?</t>
  </si>
  <si>
    <t xml:space="preserve">Sửa để tham số tùy chọn, có giá trị mặc định; viết test cho cả hai trường hợp.</t>
  </si>
  <si>
    <t xml:space="preserve">J20</t>
  </si>
  <si>
    <t xml:space="preserve">JSON</t>
  </si>
  <si>
    <t xml:space="preserve">Đệ quy vô hạn khi serialize</t>
  </si>
  <si>
    <t xml:space="preserve">API trả Order bị StackOverflowError (Order → Item → Order → ...).</t>
  </si>
  <si>
    <t xml:space="preserve">Quan hệ hai chiều + Jackson duyệt mọi getter. Có nên trả thẳng entity ra API không?</t>
  </si>
  <si>
    <t xml:space="preserve">Tạo DTO cho Order; so sánh với cách dùng @JsonIgnore và nêu nhược điểm.</t>
  </si>
  <si>
    <t xml:space="preserve">J21</t>
  </si>
  <si>
    <t xml:space="preserve">Testing</t>
  </si>
  <si>
    <t xml:space="preserve">Test fail lúc nửa đêm</t>
  </si>
  <si>
    <t xml:space="preserve">Test 'đơn hết hạn hôm nay' xanh cả ngày, đỏ khi CI chạy lúc 0h.</t>
  </si>
  <si>
    <t xml:space="preserve">Code gọi LocalDate.now() trực tiếp thì test kiểm soát thời gian bằng cách nào?</t>
  </si>
  <si>
    <t xml:space="preserve">Inject Clock vào service; viết test với thời điểm cố định 23:59 và 00:01.</t>
  </si>
  <si>
    <t xml:space="preserve">#17</t>
  </si>
  <si>
    <t xml:space="preserve">J22</t>
  </si>
  <si>
    <t xml:space="preserve">Lombok @Data trên entity</t>
  </si>
  <si>
    <t xml:space="preserve">Gọi hashCode()/toString() trên entity gây truy vấn bất ngờ hoặc StackOverflowError.</t>
  </si>
  <si>
    <t xml:space="preserve">@Data sinh equals/hashCode/toString từ những field nào, kể cả quan hệ LAZY?</t>
  </si>
  <si>
    <t xml:space="preserve">Thay @Data bằng annotation phù hợp; viết equals/hashCode an toàn cho entity.</t>
  </si>
  <si>
    <t xml:space="preserve">J23</t>
  </si>
  <si>
    <t xml:space="preserve">SQL injection</t>
  </si>
  <si>
    <t xml:space="preserve">Tìm kiếm bằng native query nối chuỗi tham số; nhập ' OR '1'='1 trả về toàn bộ bảng.</t>
  </si>
  <si>
    <t xml:space="preserve">Khác biệt giữa nối chuỗi và tham số ràng buộc (bind parameter) ở tầng driver?</t>
  </si>
  <si>
    <t xml:space="preserve">Tái hiện trên DB local; sửa bằng tham số; viết test với payload tấn công.</t>
  </si>
  <si>
    <t xml:space="preserve">J24</t>
  </si>
  <si>
    <t xml:space="preserve">Web</t>
  </si>
  <si>
    <t xml:space="preserve">Lỗi CORS</t>
  </si>
  <si>
    <t xml:space="preserve">Frontend gọi API báo CORS error, Postman gọi bình thường.</t>
  </si>
  <si>
    <t xml:space="preserve">Ai chặn request: server hay trình duyệt? Preflight OPTIONS là gì?</t>
  </si>
  <si>
    <t xml:space="preserve">Cấu hình CORS theo whitelist domain; kiểm tra bằng DevTools tab Network.</t>
  </si>
  <si>
    <t xml:space="preserve">#5</t>
  </si>
  <si>
    <t xml:space="preserve">J25</t>
  </si>
  <si>
    <t xml:space="preserve">DB</t>
  </si>
  <si>
    <t xml:space="preserve">Tìm kiếm không ra kết quả</t>
  </si>
  <si>
    <t xml:space="preserve">Gõ 'nguyen' không tìm ra 'Nguyễn'; gõ chữ hoa thì không thấy chữ thường.</t>
  </si>
  <si>
    <t xml:space="preserve">Collation của cột là gì? Có nên xử lý trong Java hay trong DB?</t>
  </si>
  <si>
    <t xml:space="preserve">Thử tìm kiếm không phân biệt hoa thường và dấu trên PostgreSQL/MySQL; đo ảnh hưởng tới index.</t>
  </si>
  <si>
    <t xml:space="preserve">#15</t>
  </si>
  <si>
    <t xml:space="preserve">P01</t>
  </si>
  <si>
    <t xml:space="preserve">Pre-middle</t>
  </si>
  <si>
    <t xml:space="preserve">N+1 query</t>
  </si>
  <si>
    <t xml:space="preserve">Trang danh sách 50 đơn hàng bắn ra 51 câu SQL, latency 2s.</t>
  </si>
  <si>
    <t xml:space="preserve">Bật log SQL. Câu thứ 2..51 sinh ra khi nào: lúc query hay lúc truy cập order.getItems()?</t>
  </si>
  <si>
    <t xml:space="preserve">Tái hiện với 50 đơn; sửa bằng JOIN FETCH rồi bằng @EntityGraph; đếm số query.</t>
  </si>
  <si>
    <t xml:space="preserve">#12</t>
  </si>
  <si>
    <t xml:space="preserve">P02</t>
  </si>
  <si>
    <t xml:space="preserve">LazyInitializationException</t>
  </si>
  <si>
    <t xml:space="preserve">API trả Order lỗi 'could not initialize proxy - no Session'.</t>
  </si>
  <si>
    <t xml:space="preserve">Proxy LAZY cần gì để tải dữ liệu? Session còn mở ở chỗ serialize JSON không?</t>
  </si>
  <si>
    <t xml:space="preserve">Tái hiện khi tắt open-in-view; sửa bằng DTO projection.</t>
  </si>
  <si>
    <t xml:space="preserve">#13</t>
  </si>
  <si>
    <t xml:space="preserve">P03</t>
  </si>
  <si>
    <t xml:space="preserve">Open-in-view che giấu vấn đề</t>
  </si>
  <si>
    <t xml:space="preserve">Bật open-in-view thì hết lỗi lazy nhưng prod có query chạy ngoài transaction và pool cạn.</t>
  </si>
  <si>
    <t xml:space="preserve">Connection được giữ đến khi nào khi open-in-view=true?</t>
  </si>
  <si>
    <t xml:space="preserve">So sánh số connection đang giữ khi bật/tắt dưới tải 50 request đồng thời.</t>
  </si>
  <si>
    <t xml:space="preserve">P04</t>
  </si>
  <si>
    <t xml:space="preserve">DB đổi dù không gọi save()</t>
  </si>
  <si>
    <t xml:space="preserve">Hàm 'xem thử giá' vô tình cập nhật giá sản phẩm trong DB.</t>
  </si>
  <si>
    <t xml:space="preserve">Entity managed + thay đổi field + transaction commit thì chuyện gì xảy ra?</t>
  </si>
  <si>
    <t xml:space="preserve">Viết test chứng minh dirty checking; sửa bằng readOnly hoặc làm việc trên bản copy.</t>
  </si>
  <si>
    <t xml:space="preserve">P05</t>
  </si>
  <si>
    <t xml:space="preserve">Transaction</t>
  </si>
  <si>
    <t xml:space="preserve">@Transactional không rollback</t>
  </si>
  <si>
    <t xml:space="preserve">Lỗi giữa chừng nhưng dữ liệu nửa vời vẫn được lưu; method gọi bằng this.save().</t>
  </si>
  <si>
    <t xml:space="preserve">Spring chèn logic transaction qua đâu? this.method() có đi qua lớp đó không?</t>
  </si>
  <si>
    <t xml:space="preserve">Tái hiện self-invocation; sửa bằng tách bean; viết test kiểm tra rollback.</t>
  </si>
  <si>
    <t xml:space="preserve">#9</t>
  </si>
  <si>
    <t xml:space="preserve">P06</t>
  </si>
  <si>
    <t xml:space="preserve">@Transactional trên method private</t>
  </si>
  <si>
    <t xml:space="preserve">Annotation có mặt nhưng không có transaction nào được mở.</t>
  </si>
  <si>
    <t xml:space="preserve">Proxy có ghi đè được method private không?</t>
  </si>
  <si>
    <t xml:space="preserve">Bật log của TransactionInterceptor để kiểm chứng.</t>
  </si>
  <si>
    <t xml:space="preserve">P07</t>
  </si>
  <si>
    <t xml:space="preserve">Checked exception không rollback</t>
  </si>
  <si>
    <t xml:space="preserve">Ném IOException trong method @Transactional mà dữ liệu vẫn commit.</t>
  </si>
  <si>
    <t xml:space="preserve">Quy tắc rollback mặc định với checked và unchecked exception là gì?</t>
  </si>
  <si>
    <t xml:space="preserve">Viết test cho 2 loại exception; sửa bằng rollbackFor và giải thích lựa chọn.</t>
  </si>
  <si>
    <t xml:space="preserve">P08</t>
  </si>
  <si>
    <t xml:space="preserve">Gọi API ngoài trong transaction</t>
  </si>
  <si>
    <t xml:space="preserve">Đối tác chậm 20s làm toàn bộ hệ thống treo dù chỉ 1 endpoint gọi đối tác.</t>
  </si>
  <si>
    <t xml:space="preserve">Trong 20s đó transaction đang giữ tài nguyên gì?</t>
  </si>
  <si>
    <t xml:space="preserve">Tái hiện với API giả chậm và pool 10 connection; tách gọi ngoài khỏi transaction.</t>
  </si>
  <si>
    <t xml:space="preserve">P09</t>
  </si>
  <si>
    <t xml:space="preserve">DB Pool</t>
  </si>
  <si>
    <t xml:space="preserve">Connection pool cạn</t>
  </si>
  <si>
    <t xml:space="preserve">Log: 'Connection is not available, request timed out after 30000ms'.</t>
  </si>
  <si>
    <t xml:space="preserve">Ai đang mượn connection mà không trả, hoặc trả chậm? HikariCP có leak detection không?</t>
  </si>
  <si>
    <t xml:space="preserve">Bật leakDetectionThreshold; tìm đoạn code giữ connection lâu nhất.</t>
  </si>
  <si>
    <t xml:space="preserve">P10</t>
  </si>
  <si>
    <t xml:space="preserve">JOIN FETCH + phân trang</t>
  </si>
  <si>
    <t xml:space="preserve">Cảnh báo HHH90003004, phân trang được thực hiện trong RAM, server tốn bộ nhớ.</t>
  </si>
  <si>
    <t xml:space="preserve">LIMIT trên câu JOIN cắt theo dòng của bảng nào?</t>
  </si>
  <si>
    <t xml:space="preserve">Sửa bằng 2 bước: phân trang id trước, fetch sau; so sánh bộ nhớ.</t>
  </si>
  <si>
    <t xml:space="preserve">P11</t>
  </si>
  <si>
    <t xml:space="preserve">DB/Index</t>
  </si>
  <si>
    <t xml:space="preserve">Query chậm dần theo thời gian</t>
  </si>
  <si>
    <t xml:space="preserve">Màn hình lịch sử giao dịch từ 50ms lên 4s sau 6 tháng.</t>
  </si>
  <si>
    <t xml:space="preserve">Đọc EXPLAIN ANALYZE: Seq Scan hay Index Scan? Cột nào nằm trong WHERE và ORDER BY?</t>
  </si>
  <si>
    <t xml:space="preserve">Sinh 1 triệu dòng giả; đo trước/sau khi tạo index.</t>
  </si>
  <si>
    <t xml:space="preserve">P12</t>
  </si>
  <si>
    <t xml:space="preserve">Có index mà không dùng</t>
  </si>
  <si>
    <t xml:space="preserve">WHERE LOWER(email)=? vẫn Seq Scan dù email đã có index.</t>
  </si>
  <si>
    <t xml:space="preserve">Index lưu giá trị gốc hay giá trị sau hàm?</t>
  </si>
  <si>
    <t xml:space="preserve">Thử functional index hoặc chuẩn hóa dữ liệu khi lưu; so sánh EXPLAIN.</t>
  </si>
  <si>
    <t xml:space="preserve">P13</t>
  </si>
  <si>
    <t xml:space="preserve">Composite index sai thứ tự</t>
  </si>
  <si>
    <t xml:space="preserve">Index (status, created_at) không giúp query lọc theo created_at.</t>
  </si>
  <si>
    <t xml:space="preserve">Index nhiều cột được sắp xếp giống danh bạ điện thoại như thế nào?</t>
  </si>
  <si>
    <t xml:space="preserve">Thử các thứ tự cột với 3 kiểu query khác nhau; ghi kết quả EXPLAIN.</t>
  </si>
  <si>
    <t xml:space="preserve">P14</t>
  </si>
  <si>
    <t xml:space="preserve">LIKE '%abc' chậm</t>
  </si>
  <si>
    <t xml:space="preserve">Tìm kiếm theo đuôi mã đơn rất chậm.</t>
  </si>
  <si>
    <t xml:space="preserve">B-tree tra cứu từ đầu chuỗi; ký tự đại diện ở đầu thì sao?</t>
  </si>
  <si>
    <t xml:space="preserve">Đề xuất 2 hướng (lưu cột đảo ngược, full-text/trigram) và đo.</t>
  </si>
  <si>
    <t xml:space="preserve">P15</t>
  </si>
  <si>
    <t xml:space="preserve">Concurrency</t>
  </si>
  <si>
    <t xml:space="preserve">Bán vượt tồn kho</t>
  </si>
  <si>
    <t xml:space="preserve">Flash sale: kho còn 10 nhưng bán ra 13 đơn.</t>
  </si>
  <si>
    <t xml:space="preserve">Đọc tồn kho → kiểm tra → ghi là 3 bước; 2 request xen giữa thì sao?</t>
  </si>
  <si>
    <t xml:space="preserve">Bắn 50 request đồng thời bằng ExecutorService; sửa bằng UPDATE ... WHERE stock &gt;= ?.</t>
  </si>
  <si>
    <t xml:space="preserve">#14</t>
  </si>
  <si>
    <t xml:space="preserve">P16</t>
  </si>
  <si>
    <t xml:space="preserve">Lost update khi 2 admin cùng sửa</t>
  </si>
  <si>
    <t xml:space="preserve">Hai admin sửa cùng sản phẩm, thay đổi của người đầu bị mất.</t>
  </si>
  <si>
    <t xml:space="preserve">Ai lưu sau sẽ đè người trước. Làm sao phát hiện bản ghi đã bị đổi kể từ lúc mình đọc?</t>
  </si>
  <si>
    <t xml:space="preserve">Thêm @Version; viết test 2 thread; thiết kế response 409 cho client.</t>
  </si>
  <si>
    <t xml:space="preserve">P17</t>
  </si>
  <si>
    <t xml:space="preserve">Idempotency</t>
  </si>
  <si>
    <t xml:space="preserve">Double submit tạo 2 đơn</t>
  </si>
  <si>
    <t xml:space="preserve">Người dùng bấm 'Đặt hàng' 2 lần do mạng chậm, tạo 2 đơn và bị trừ tiền 2 lần.</t>
  </si>
  <si>
    <t xml:space="preserve">Chặn ở frontend có đủ không? Server nhận diện 2 request là 'cùng một ý định' bằng cách nào?</t>
  </si>
  <si>
    <t xml:space="preserve">Thiết kế Idempotency-Key + unique constraint; test 2 request song song.</t>
  </si>
  <si>
    <t xml:space="preserve">#25</t>
  </si>
  <si>
    <t xml:space="preserve">P18</t>
  </si>
  <si>
    <t xml:space="preserve">Singleton bean có state</t>
  </si>
  <si>
    <t xml:space="preserve">Thỉnh thoảng ngày tháng parse sai hoặc counter thống kê lệch.</t>
  </si>
  <si>
    <t xml:space="preserve">Bean mặc định có bao nhiêu instance? SimpleDateFormat/HashMap có thread-safe không?</t>
  </si>
  <si>
    <t xml:space="preserve">Tái hiện bằng 100 thread; sửa theo 2 cách và nêu trade-off.</t>
  </si>
  <si>
    <t xml:space="preserve">#11</t>
  </si>
  <si>
    <t xml:space="preserve">P19</t>
  </si>
  <si>
    <t xml:space="preserve">Observability</t>
  </si>
  <si>
    <t xml:space="preserve">requestId bị lẫn giữa request</t>
  </si>
  <si>
    <t xml:space="preserve">Log của request B mang requestId của request A.</t>
  </si>
  <si>
    <t xml:space="preserve">Thread trong pool được tái sử dụng; MDC lưu dữ liệu ở đâu?</t>
  </si>
  <si>
    <t xml:space="preserve">Viết filter set/clear MDC; test bằng pool 2 thread.</t>
  </si>
  <si>
    <t xml:space="preserve">#22</t>
  </si>
  <si>
    <t xml:space="preserve">P20</t>
  </si>
  <si>
    <t xml:space="preserve">Async</t>
  </si>
  <si>
    <t xml:space="preserve">@Async không chạy bất đồng bộ</t>
  </si>
  <si>
    <t xml:space="preserve">Gửi email vẫn làm API chậm 3s dù có @Async.</t>
  </si>
  <si>
    <t xml:space="preserve">@Async cũng dựa vào proxy giống @Transactional. Còn thiếu cấu hình nào? SecurityContext có được truyền sang thread mới không?</t>
  </si>
  <si>
    <t xml:space="preserve">Kiểm tra tên thread trong log; cấu hình executor riêng.</t>
  </si>
  <si>
    <t xml:space="preserve">P21</t>
  </si>
  <si>
    <t xml:space="preserve">Scheduling</t>
  </si>
  <si>
    <t xml:space="preserve">Cron chạy 2 lần</t>
  </si>
  <si>
    <t xml:space="preserve">Scale lên 2 instance, mỗi khách nhận 2 email nhắc nợ.</t>
  </si>
  <si>
    <t xml:space="preserve">@Scheduled chạy trên mỗi JVM. Ai điều phối giữa các instance?</t>
  </si>
  <si>
    <t xml:space="preserve">Dựng 2 instance local; thêm khóa phân tán (ShedLock hoặc khóa DB).</t>
  </si>
  <si>
    <t xml:space="preserve">P22</t>
  </si>
  <si>
    <t xml:space="preserve">Cache</t>
  </si>
  <si>
    <t xml:space="preserve">Cache trả dữ liệu cũ</t>
  </si>
  <si>
    <t xml:space="preserve">Cập nhật giá xong, trang sản phẩm vẫn hiện giá cũ 10 phút.</t>
  </si>
  <si>
    <t xml:space="preserve">Lúc ghi, ai báo cho cache biết dữ liệu đã đổi?</t>
  </si>
  <si>
    <t xml:space="preserve">Thêm @CacheEvict/@CachePut; viết test chứng minh cache được làm mới.</t>
  </si>
  <si>
    <t xml:space="preserve">P23</t>
  </si>
  <si>
    <t xml:space="preserve">Cache key sai</t>
  </si>
  <si>
    <t xml:space="preserve">Hai user khác nhau nhận kết quả tìm kiếm của nhau từ cache.</t>
  </si>
  <si>
    <t xml:space="preserve">Key mặc định của @Cacheable được tạo từ đâu? Tham số nào bị bỏ sót?</t>
  </si>
  <si>
    <t xml:space="preserve">Định nghĩa key tường minh; test với 2 user.</t>
  </si>
  <si>
    <t xml:space="preserve">P24</t>
  </si>
  <si>
    <t xml:space="preserve">Token hết hạn giữa chừng</t>
  </si>
  <si>
    <t xml:space="preserve">Người dùng đang điền form dài thì bị đăng xuất, mất dữ liệu.</t>
  </si>
  <si>
    <t xml:space="preserve">Access token ngắn hạn + gì để làm mới mà không bắt đăng nhập lại?</t>
  </si>
  <si>
    <t xml:space="preserve">Thiết kế luồng refresh token; vẽ sơ đồ, nêu rủi ro khi refresh token bị lộ.</t>
  </si>
  <si>
    <t xml:space="preserve">#7</t>
  </si>
  <si>
    <t xml:space="preserve">P25</t>
  </si>
  <si>
    <t xml:space="preserve">Logout nhưng token vẫn dùng được</t>
  </si>
  <si>
    <t xml:space="preserve">Sau khi logout, gọi lại API bằng token cũ vẫn thành công.</t>
  </si>
  <si>
    <t xml:space="preserve">JWT stateless: server không lưu gì thì 'thu hồi' bằng cách nào?</t>
  </si>
  <si>
    <t xml:space="preserve">So sánh denylist, token ngắn hạn, token version trong DB.</t>
  </si>
  <si>
    <t xml:space="preserve">P26</t>
  </si>
  <si>
    <t xml:space="preserve">Endpoint public bị 401</t>
  </si>
  <si>
    <t xml:space="preserve">/api/products đã permitAll nhưng vẫn trả 401.</t>
  </si>
  <si>
    <t xml:space="preserve">JWT filter có chạy cho mọi request không? Token sai trên endpoint public thì sao?</t>
  </si>
  <si>
    <t xml:space="preserve">Vẽ lại luồng request qua filter chain; sửa và viết test.</t>
  </si>
  <si>
    <t xml:space="preserve">P27</t>
  </si>
  <si>
    <t xml:space="preserve">GET được, POST bị 403</t>
  </si>
  <si>
    <t xml:space="preserve">Các API POST/PUT trả 403 dù đã đăng nhập.</t>
  </si>
  <si>
    <t xml:space="preserve">Cơ chế bảo vệ nào chỉ áp dụng cho request thay đổi trạng thái?</t>
  </si>
  <si>
    <t xml:space="preserve">Giải thích khi nào được tắt CSRF với API dùng JWT.</t>
  </si>
  <si>
    <t xml:space="preserve">P28</t>
  </si>
  <si>
    <t xml:space="preserve">Xem được dữ liệu người khác (IDOR)</t>
  </si>
  <si>
    <t xml:space="preserve">Đổi /orders/101 thành /orders/102 xem được đơn của người khác.</t>
  </si>
  <si>
    <t xml:space="preserve">Đăng nhập rồi (authentication) có đồng nghĩa với có quyền (authorization)?</t>
  </si>
  <si>
    <t xml:space="preserve">Thêm kiểm tra chủ sở hữu; viết test với 2 user.</t>
  </si>
  <si>
    <t xml:space="preserve">#6</t>
  </si>
  <si>
    <t xml:space="preserve">P29</t>
  </si>
  <si>
    <t xml:space="preserve">Mật khẩu lưu MD5</t>
  </si>
  <si>
    <t xml:space="preserve">Audit yêu cầu đổi cách lưu mật khẩu, không được bắt user đặt lại.</t>
  </si>
  <si>
    <t xml:space="preserve">Vì sao hash nhanh lại là điểm yếu? Salt giải quyết loại tấn công nào?</t>
  </si>
  <si>
    <t xml:space="preserve">Thiết kế migrate sang BCrypt khi user đăng nhập lần tiếp theo.</t>
  </si>
  <si>
    <t xml:space="preserve">P30</t>
  </si>
  <si>
    <t xml:space="preserve">Resilience</t>
  </si>
  <si>
    <t xml:space="preserve">HTTP client không có timeout</t>
  </si>
  <si>
    <t xml:space="preserve">Đối tác treo, thread của service cạn dần, health check fail.</t>
  </si>
  <si>
    <t xml:space="preserve">Mặc định RestTemplate/WebClient chờ bao lâu?</t>
  </si>
  <si>
    <t xml:space="preserve">Cấu hình connect/read timeout; test với server giả chậm.</t>
  </si>
  <si>
    <t xml:space="preserve">#19</t>
  </si>
  <si>
    <t xml:space="preserve">P31</t>
  </si>
  <si>
    <t xml:space="preserve">Retry làm sập đối tác</t>
  </si>
  <si>
    <t xml:space="preserve">Đối tác vừa hồi phục lại sập tiếp vì hàng nghìn request retry cùng lúc.</t>
  </si>
  <si>
    <t xml:space="preserve">Retry ngay lập tức và đồng loạt tạo ra hiệu ứng gì? Backoff và jitter là gì?</t>
  </si>
  <si>
    <t xml:space="preserve">Cấu hình retry với exponential backoff + jitter; chỉ retry lỗi có thể retry.</t>
  </si>
  <si>
    <t xml:space="preserve">P32</t>
  </si>
  <si>
    <t xml:space="preserve">Circuit breaker mở mãi</t>
  </si>
  <si>
    <t xml:space="preserve">Đối tác đã ổn nhưng service vẫn trả fallback suốt 1 giờ.</t>
  </si>
  <si>
    <t xml:space="preserve">Breaker chuyển từ OPEN sang HALF_OPEN dựa vào điều kiện gì?</t>
  </si>
  <si>
    <t xml:space="preserve">Cấu hình Resilience4j và viết test đi qua đủ 3 trạng thái.</t>
  </si>
  <si>
    <t xml:space="preserve">P33</t>
  </si>
  <si>
    <t xml:space="preserve">Kafka</t>
  </si>
  <si>
    <t xml:space="preserve">Xử lý trùng message</t>
  </si>
  <si>
    <t xml:space="preserve">Sau rebalance, một số đơn được cộng điểm thưởng 2 lần.</t>
  </si>
  <si>
    <t xml:space="preserve">Offset được commit trước hay sau khi xử lý? At-least-once nghĩa là gì?</t>
  </si>
  <si>
    <t xml:space="preserve">Tái hiện bằng cách kill consumer giữa chừng; thêm bảng processed_message.</t>
  </si>
  <si>
    <t xml:space="preserve">#20</t>
  </si>
  <si>
    <t xml:space="preserve">P34</t>
  </si>
  <si>
    <t xml:space="preserve">Sai thứ tự sự kiện</t>
  </si>
  <si>
    <t xml:space="preserve">Đơn nhận 'CANCELLED' trước 'CREATED' nên trạng thái cuối bị sai.</t>
  </si>
  <si>
    <t xml:space="preserve">Kafka đảm bảo thứ tự trong phạm vi nào? Key của message đang là gì?</t>
  </si>
  <si>
    <t xml:space="preserve">Gửi message có/không có key; quan sát thứ tự ở consumer.</t>
  </si>
  <si>
    <t xml:space="preserve">P35</t>
  </si>
  <si>
    <t xml:space="preserve">Poison message</t>
  </si>
  <si>
    <t xml:space="preserve">Một message lỗi định dạng khiến consumer retry vô hạn, các message sau bị kẹt.</t>
  </si>
  <si>
    <t xml:space="preserve">Lỗi nào retry có ích, lỗi nào không bao giờ thành công?</t>
  </si>
  <si>
    <t xml:space="preserve">Cấu hình DefaultErrorHandler + dead letter topic.</t>
  </si>
  <si>
    <t xml:space="preserve">P36</t>
  </si>
  <si>
    <t xml:space="preserve">Event gửi trước khi DB commit</t>
  </si>
  <si>
    <t xml:space="preserve">Consumer nhận event 'đơn mới' nhưng query DB không thấy đơn.</t>
  </si>
  <si>
    <t xml:space="preserve">Gửi Kafka nằm trong hay ngoài transaction DB? Nếu commit fail sau khi gửi thì sao?</t>
  </si>
  <si>
    <t xml:space="preserve">Thử @TransactionalEventListener(AFTER_COMMIT); nêu rủi ro còn lại (dẫn tới Outbox).</t>
  </si>
  <si>
    <t xml:space="preserve">P37</t>
  </si>
  <si>
    <t xml:space="preserve">Batch</t>
  </si>
  <si>
    <t xml:space="preserve">Insert 100k dòng rất chậm</t>
  </si>
  <si>
    <t xml:space="preserve">Import mất 15 phút, mỗi dòng một câu INSERT.</t>
  </si>
  <si>
    <t xml:space="preserve">Hibernate batching có hoạt động với IDENTITY không? batch_size đã bật chưa?</t>
  </si>
  <si>
    <t xml:space="preserve">Đo thời gian với saveAll, batch_size, và JDBC batch.</t>
  </si>
  <si>
    <t xml:space="preserve">P38</t>
  </si>
  <si>
    <t xml:space="preserve">Đọc file Excel lớn bị OOM</t>
  </si>
  <si>
    <t xml:space="preserve">Upload file Excel 50MB làm sập server.</t>
  </si>
  <si>
    <t xml:space="preserve">Thư viện đang nạp cả file vào bộ nhớ hay đọc từng dòng?</t>
  </si>
  <si>
    <t xml:space="preserve">Đổi sang streaming reader; đo heap bằng VisualVM.</t>
  </si>
  <si>
    <t xml:space="preserve">P39</t>
  </si>
  <si>
    <t xml:space="preserve">API design</t>
  </si>
  <si>
    <t xml:space="preserve">Export báo cáo bị timeout</t>
  </si>
  <si>
    <t xml:space="preserve">Gateway cắt request sau 60s khi xuất báo cáo năm.</t>
  </si>
  <si>
    <t xml:space="preserve">Có cần client chờ đến khi file xong không?</t>
  </si>
  <si>
    <t xml:space="preserve">Thiết kế luồng job: tạo job → polling trạng thái → tải file.</t>
  </si>
  <si>
    <t xml:space="preserve">P40</t>
  </si>
  <si>
    <t xml:space="preserve">Migration</t>
  </si>
  <si>
    <t xml:space="preserve">Flyway fail trên prod</t>
  </si>
  <si>
    <t xml:space="preserve">Deploy fail: 'Migration checksum mismatch'.</t>
  </si>
  <si>
    <t xml:space="preserve">Ai đã sửa file migration đã chạy? Vì sao Flyway kiểm tra checksum?</t>
  </si>
  <si>
    <t xml:space="preserve">Viết quy tắc team về migration; tạo migration mới thay vì sửa cũ.</t>
  </si>
  <si>
    <t xml:space="preserve">#21</t>
  </si>
  <si>
    <t xml:space="preserve">P41</t>
  </si>
  <si>
    <t xml:space="preserve">Thêm cột NOT NULL</t>
  </si>
  <si>
    <t xml:space="preserve">Migration thêm cột NOT NULL làm deploy fail vì bảng đã có dữ liệu.</t>
  </si>
  <si>
    <t xml:space="preserve">Bản code cũ và mới cùng chạy trong lúc rolling deploy thì schema phải thỏa mãn cả hai?</t>
  </si>
  <si>
    <t xml:space="preserve">Chia thành các bước expand → backfill → contract.</t>
  </si>
  <si>
    <t xml:space="preserve">P42</t>
  </si>
  <si>
    <t xml:space="preserve">App cũ crash sau khi đổi API</t>
  </si>
  <si>
    <t xml:space="preserve">Đổi tên field JSON làm app mobile bản cũ crash.</t>
  </si>
  <si>
    <t xml:space="preserve">App mobile không thể bắt người dùng cập nhật ngay. Thay đổi nào là breaking?</t>
  </si>
  <si>
    <t xml:space="preserve">Liệt kê thay đổi an toàn và breaking; thiết kế chiến lược versioning.</t>
  </si>
  <si>
    <t xml:space="preserve">P43</t>
  </si>
  <si>
    <t xml:space="preserve">Xanh ở local, đỏ trên CI</t>
  </si>
  <si>
    <t xml:space="preserve">Integration test dùng H2 pass local nhưng lỗi trên Postgres thật.</t>
  </si>
  <si>
    <t xml:space="preserve">H2 khác Postgres ở cú pháp và hành vi nào?</t>
  </si>
  <si>
    <t xml:space="preserve">Chuyển sang Testcontainers; tìm câu query chạy khác nhau giữa 2 DB.</t>
  </si>
  <si>
    <t xml:space="preserve">P44</t>
  </si>
  <si>
    <t xml:space="preserve">Test flaky</t>
  </si>
  <si>
    <t xml:space="preserve">Test lúc pass lúc fail khi chạy cả suite, chạy riêng lẻ thì luôn pass.</t>
  </si>
  <si>
    <t xml:space="preserve">Các test có dùng chung dữ liệu, thứ tự hay trạng thái static không?</t>
  </si>
  <si>
    <t xml:space="preserve">Tìm nguyên nhân bằng cách chạy với thứ tự ngẫu nhiên; cô lập dữ liệu.</t>
  </si>
  <si>
    <t xml:space="preserve">P45</t>
  </si>
  <si>
    <t xml:space="preserve">100% coverage vẫn lọt bug</t>
  </si>
  <si>
    <t xml:space="preserve">Coverage 100% nhưng prod lỗi với giá trị biên (0, âm, null).</t>
  </si>
  <si>
    <t xml:space="preserve">Coverage đo điều gì và không đo điều gì?</t>
  </si>
  <si>
    <t xml:space="preserve">Viết test biên và test tham số hóa cho hàm tính giảm giá.</t>
  </si>
  <si>
    <t xml:space="preserve">#18</t>
  </si>
  <si>
    <t xml:space="preserve">P46</t>
  </si>
  <si>
    <t xml:space="preserve">DevOps</t>
  </si>
  <si>
    <t xml:space="preserve">Docker image quá nặng</t>
  </si>
  <si>
    <t xml:space="preserve">Image 800MB, build CI mất 12 phút mỗi lần.</t>
  </si>
  <si>
    <t xml:space="preserve">Image chạy có cần Maven và source code không? Layer nào thay đổi thường xuyên nhất?</t>
  </si>
  <si>
    <t xml:space="preserve">Viết Dockerfile multi-stage; sắp xếp layer để tận dụng cache.</t>
  </si>
  <si>
    <t xml:space="preserve">P47</t>
  </si>
  <si>
    <t xml:space="preserve">Container bị OOMKilled</t>
  </si>
  <si>
    <t xml:space="preserve">Pod bị kill dù -Xmx=512m và limit 768Mi.</t>
  </si>
  <si>
    <t xml:space="preserve">Ngoài heap, JVM còn dùng bộ nhớ cho gì?</t>
  </si>
  <si>
    <t xml:space="preserve">Thử MaxRAMPercentage; đo native memory tracking.</t>
  </si>
  <si>
    <t xml:space="preserve">P48</t>
  </si>
  <si>
    <t xml:space="preserve">p95 tăng, trung bình bình thường</t>
  </si>
  <si>
    <t xml:space="preserve">Dashboard trung bình 120ms nhưng khách phàn nàn chậm.</t>
  </si>
  <si>
    <t xml:space="preserve">Trung bình che giấu điều gì? 5% request chậm nhất là ai?</t>
  </si>
  <si>
    <t xml:space="preserve">Đo histogram latency với Micrometer; tìm request đuôi chậm.</t>
  </si>
  <si>
    <t xml:space="preserve">P49</t>
  </si>
  <si>
    <t xml:space="preserve">Không truy được request qua service</t>
  </si>
  <si>
    <t xml:space="preserve">Lỗi xảy ra ở service C, không biết request gốc đến từ đâu.</t>
  </si>
  <si>
    <t xml:space="preserve">Một id cần được truyền qua những ranh giới nào (HTTP header, Kafka header)?</t>
  </si>
  <si>
    <t xml:space="preserve">Truyền correlation id qua HTTP và Kafka; kiểm tra log 3 service.</t>
  </si>
  <si>
    <t xml:space="preserve">P50</t>
  </si>
  <si>
    <t xml:space="preserve">Đơn kẹt PENDING sau callback</t>
  </si>
  <si>
    <t xml:space="preserve">Callback thanh toán được gửi lại, một số đơn kẹt PENDING dù đã trừ tiền.</t>
  </si>
  <si>
    <t xml:space="preserve">'Đã nhận callback' có phải 'đã xử lý xong'? Trạng thái nào là nguồn sự thật?</t>
  </si>
  <si>
    <t xml:space="preserve">Viết lại handler bằng UPDATE có điều kiện; mô phỏng retry; viết email báo cáo cho PM bằng tiếng Anh.</t>
  </si>
  <si>
    <t xml:space="preserve">M01</t>
  </si>
  <si>
    <t xml:space="preserve">Middle</t>
  </si>
  <si>
    <t xml:space="preserve">Deadlock giữa 2 transaction</t>
  </si>
  <si>
    <t xml:space="preserve">Log: 'Deadlock found when trying to get lock' khi chuyển tiền qua lại giữa 2 tài khoản.</t>
  </si>
  <si>
    <t xml:space="preserve">Hai transaction khóa 2 dòng theo thứ tự nào? Thứ tự ngược nhau dẫn tới gì?</t>
  </si>
  <si>
    <t xml:space="preserve">Tái hiện A→B và B→A song song; sửa bằng thứ tự khóa nhất quán.</t>
  </si>
  <si>
    <t xml:space="preserve">M02</t>
  </si>
  <si>
    <t xml:space="preserve">Distributed</t>
  </si>
  <si>
    <t xml:space="preserve">Khóa Redis hết hạn khi job còn chạy</t>
  </si>
  <si>
    <t xml:space="preserve">Job dài hơn TTL của lock, instance thứ 2 lấy lock và cả 2 cùng ghi dữ liệu.</t>
  </si>
  <si>
    <t xml:space="preserve">Gia hạn lock có đủ không? Tài nguyên bên dưới phân biệt 'chủ lock cũ' và 'chủ lock mới' bằng cách nào?</t>
  </si>
  <si>
    <t xml:space="preserve">Nghiên cứu fencing token; thiết kế và mô phỏng.</t>
  </si>
  <si>
    <t xml:space="preserve">M03</t>
  </si>
  <si>
    <t xml:space="preserve">Dual write DB + Kafka</t>
  </si>
  <si>
    <t xml:space="preserve">Thỉnh thoảng có đơn trong DB mà không có event, hoặc ngược lại.</t>
  </si>
  <si>
    <t xml:space="preserve">Không thể có transaction chung giữa DB và Kafka. Làm sao biến 2 lần ghi thành 1?</t>
  </si>
  <si>
    <t xml:space="preserve">Cài Outbox pattern: bảng outbox + publisher; xử lý gửi trùng ở consumer.</t>
  </si>
  <si>
    <t xml:space="preserve">M04</t>
  </si>
  <si>
    <t xml:space="preserve">Saga đặt hàng</t>
  </si>
  <si>
    <t xml:space="preserve">Thanh toán thành công nhưng trừ kho thất bại; tiền đã trừ, đơn không giao được.</t>
  </si>
  <si>
    <t xml:space="preserve">Không có rollback xuyên service. Bù trừ (compensation) cho từng bước là gì?</t>
  </si>
  <si>
    <t xml:space="preserve">Vẽ saga orchestration cho đặt hàng → thanh toán → kho; định nghĩa compensation.</t>
  </si>
  <si>
    <t xml:space="preserve">M05</t>
  </si>
  <si>
    <t xml:space="preserve">Consumer idempotent thật sự</t>
  </si>
  <si>
    <t xml:space="preserve">Team tin 'Kafka exactly-once' nên không chống trùng; đối soát lệch.</t>
  </si>
  <si>
    <t xml:space="preserve">Exactly-once của Kafka áp dụng trong phạm vi nào? Ghi ra DB bên ngoài có nằm trong đó?</t>
  </si>
  <si>
    <t xml:space="preserve">Thiết kế ghi processed_id và cập nhật nghiệp vụ trong cùng 1 transaction DB.</t>
  </si>
  <si>
    <t xml:space="preserve">M06</t>
  </si>
  <si>
    <t xml:space="preserve">Cache stampede</t>
  </si>
  <si>
    <t xml:space="preserve">Key 'trang chủ' hết hạn, 5000 request cùng lúc đánh vào DB làm DB sập.</t>
  </si>
  <si>
    <t xml:space="preserve">Có bao nhiêu request thực sự cần tải lại dữ liệu?</t>
  </si>
  <si>
    <t xml:space="preserve">So sánh khóa khi tải lại, làm mới sớm, TTL ngẫu nhiên; mô phỏng tải.</t>
  </si>
  <si>
    <t xml:space="preserve">M07</t>
  </si>
  <si>
    <t xml:space="preserve">Cache lệch DB</t>
  </si>
  <si>
    <t xml:space="preserve">Thỉnh thoảng cache giữ giá trị cũ vĩnh viễn dù đã xóa cache sau khi cập nhật.</t>
  </si>
  <si>
    <t xml:space="preserve">Vẽ timeline 2 request đọc/ghi xen kẽ: ai ghi giá trị cũ vào cache sau khi đã xóa?</t>
  </si>
  <si>
    <t xml:space="preserve">Phân tích các thứ tự: xóa trước/sau ghi DB, delayed double delete, TTL.</t>
  </si>
  <si>
    <t xml:space="preserve">M08</t>
  </si>
  <si>
    <t xml:space="preserve">Hot partition</t>
  </si>
  <si>
    <t xml:space="preserve">Một partition lag hàng triệu, các partition khác rảnh.</t>
  </si>
  <si>
    <t xml:space="preserve">Phân bố key có đều không? Một merchant lớn chiếm bao nhiêu traffic?</t>
  </si>
  <si>
    <t xml:space="preserve">Phân tích phân bố key; đề xuất chia nhỏ key mà vẫn giữ thứ tự cần thiết.</t>
  </si>
  <si>
    <t xml:space="preserve">M09</t>
  </si>
  <si>
    <t xml:space="preserve">Consumer lag tăng dần</t>
  </si>
  <si>
    <t xml:space="preserve">Thêm consumer instance mà lag không giảm.</t>
  </si>
  <si>
    <t xml:space="preserve">Số consumer hữu ích tối đa trong 1 group bị giới hạn bởi gì?</t>
  </si>
  <si>
    <t xml:space="preserve">Đo throughput theo số partition/consumer; đề xuất xử lý song song trong consumer.</t>
  </si>
  <si>
    <t xml:space="preserve">M10</t>
  </si>
  <si>
    <t xml:space="preserve">JVM</t>
  </si>
  <si>
    <t xml:space="preserve">Memory leak</t>
  </si>
  <si>
    <t xml:space="preserve">Heap tăng dần, mỗi 3 ngày phải restart service.</t>
  </si>
  <si>
    <t xml:space="preserve">Object nào sống sót qua nhiều lần GC? Có static Map hay ThreadLocal không được dọn?</t>
  </si>
  <si>
    <t xml:space="preserve">Tạo leak có chủ đích; lấy heap dump và phân tích bằng Eclipse MAT.</t>
  </si>
  <si>
    <t xml:space="preserve">M11</t>
  </si>
  <si>
    <t xml:space="preserve">GC pause gây timeout dây chuyền</t>
  </si>
  <si>
    <t xml:space="preserve">Mỗi vài phút có loạt timeout ở service gọi đến.</t>
  </si>
  <si>
    <t xml:space="preserve">Đối chiếu thời điểm timeout với GC log. Stop-the-world ảnh hưởng gì?</t>
  </si>
  <si>
    <t xml:space="preserve">Bật GC log; thử G1 và ZGC; đo pause.</t>
  </si>
  <si>
    <t xml:space="preserve">M12</t>
  </si>
  <si>
    <t xml:space="preserve">Thread pool starvation</t>
  </si>
  <si>
    <t xml:space="preserve">Service treo khi tải cao, CPU thấp, thread dump đầy thread đang chờ.</t>
  </si>
  <si>
    <t xml:space="preserve">CompletableFuture mặc định chạy trên pool nào? Gọi IO blocking trên đó thì sao?</t>
  </si>
  <si>
    <t xml:space="preserve">Đọc thread dump; tách executor cho IO.</t>
  </si>
  <si>
    <t xml:space="preserve">M13</t>
  </si>
  <si>
    <t xml:space="preserve">Virtual thread bị pinning</t>
  </si>
  <si>
    <t xml:space="preserve">Chuyển sang Java 21 virtual thread nhưng throughput không tăng.</t>
  </si>
  <si>
    <t xml:space="preserve">Virtual thread bị gắn chặt vào carrier thread trong trường hợp nào (synchronized, native)?</t>
  </si>
  <si>
    <t xml:space="preserve">Dùng -Djdk.tracePinnedThreads; thay synchronized bằng ReentrantLock.</t>
  </si>
  <si>
    <t xml:space="preserve">M14</t>
  </si>
  <si>
    <t xml:space="preserve">API</t>
  </si>
  <si>
    <t xml:space="preserve">Rate limit phân tán</t>
  </si>
  <si>
    <t xml:space="preserve">Giới hạn 100 req/phút mỗi user nhưng có 4 instance, user gọi được 400.</t>
  </si>
  <si>
    <t xml:space="preserve">Bộ đếm đang nằm ở đâu? Thuật toán nào phù hợp (token bucket, sliding window)?</t>
  </si>
  <si>
    <t xml:space="preserve">Cài rate limiter dùng Redis; test với 2 instance.</t>
  </si>
  <si>
    <t xml:space="preserve">M15</t>
  </si>
  <si>
    <t xml:space="preserve">Request bị cắt khi deploy</t>
  </si>
  <si>
    <t xml:space="preserve">Mỗi lần rolling deploy có vài chục lỗi 502.</t>
  </si>
  <si>
    <t xml:space="preserve">Pod nhận SIGTERM thì request đang chạy và request mới đến bị xử lý thế nào?</t>
  </si>
  <si>
    <t xml:space="preserve">Cấu hình graceful shutdown + readiness probe; test bằng load khi deploy.</t>
  </si>
  <si>
    <t xml:space="preserve">M16</t>
  </si>
  <si>
    <t xml:space="preserve">Đổi tên cột bảng 50 triệu dòng</t>
  </si>
  <si>
    <t xml:space="preserve">Yêu cầu đổi tên cột không được downtime.</t>
  </si>
  <si>
    <t xml:space="preserve">ALTER trực tiếp khóa bảng bao lâu? Code cũ và mới cần cùng chạy được không?</t>
  </si>
  <si>
    <t xml:space="preserve">Lập kế hoạch expand-contract nhiều bước, ghi rõ thứ tự deploy.</t>
  </si>
  <si>
    <t xml:space="preserve">M17</t>
  </si>
  <si>
    <t xml:space="preserve">Phân trang trang sâu chậm</t>
  </si>
  <si>
    <t xml:space="preserve">Trang 1 chạy 20ms, trang 5000 chạy 6s.</t>
  </si>
  <si>
    <t xml:space="preserve">OFFSET 100000 nghĩa là DB phải đọc và bỏ đi bao nhiêu dòng?</t>
  </si>
  <si>
    <t xml:space="preserve">Cài keyset pagination; so sánh EXPLAIN.</t>
  </si>
  <si>
    <t xml:space="preserve">M18</t>
  </si>
  <si>
    <t xml:space="preserve">Báo cáo làm chậm hệ thống chính</t>
  </si>
  <si>
    <t xml:space="preserve">Mỗi sáng chạy báo cáo, API đặt hàng chậm gấp 5 lần.</t>
  </si>
  <si>
    <t xml:space="preserve">Truy vấn phân tích và giao dịch có nên dùng chung tài nguyên?</t>
  </si>
  <si>
    <t xml:space="preserve">Đề xuất read replica hoặc kho dữ liệu riêng; nêu rủi ro replication lag.</t>
  </si>
  <si>
    <t xml:space="preserve">M19</t>
  </si>
  <si>
    <t xml:space="preserve">Vừa lưu xong đọc không thấy</t>
  </si>
  <si>
    <t xml:space="preserve">Cập nhật hồ sơ xong, reload trang vẫn thấy dữ liệu cũ.</t>
  </si>
  <si>
    <t xml:space="preserve">Ghi vào primary, đọc từ replica. Replica trễ bao lâu?</t>
  </si>
  <si>
    <t xml:space="preserve">Thiết kế read-your-own-write: đọc primary trong X giây sau khi ghi.</t>
  </si>
  <si>
    <t xml:space="preserve">M20</t>
  </si>
  <si>
    <t xml:space="preserve">Payment</t>
  </si>
  <si>
    <t xml:space="preserve">Đối soát với provider</t>
  </si>
  <si>
    <t xml:space="preserve">Cuối ngày số giao dịch của mình lệch với file đối soát của cổng thanh toán.</t>
  </si>
  <si>
    <t xml:space="preserve">Bên nào là nguồn sự thật cho từng trạng thái? Đơn PENDING quá lâu cần làm gì?</t>
  </si>
  <si>
    <t xml:space="preserve">Viết job đối soát: so khớp, phân loại lệch, tự sửa hoặc báo cáo.</t>
  </si>
  <si>
    <t xml:space="preserve">M21</t>
  </si>
  <si>
    <t xml:space="preserve">Idempotency-Key cho API tạo giao dịch</t>
  </si>
  <si>
    <t xml:space="preserve">Client retry khi timeout làm tạo 2 giao dịch.</t>
  </si>
  <si>
    <t xml:space="preserve">Request thứ 2 đến khi request đầu đang xử lý thì trả gì? Lưu response bao lâu?</t>
  </si>
  <si>
    <t xml:space="preserve">Cài Idempotency-Key: lưu key + trạng thái + response; xử lý request đồng thời.</t>
  </si>
  <si>
    <t xml:space="preserve">M22</t>
  </si>
  <si>
    <t xml:space="preserve">Timeout không khớp nhau</t>
  </si>
  <si>
    <t xml:space="preserve">Client chờ 30s, gateway cắt ở 10s, service vẫn chạy 60s và ghi dữ liệu.</t>
  </si>
  <si>
    <t xml:space="preserve">Khi gateway đã trả lỗi, service có biết để dừng không? Client retry thì sao?</t>
  </si>
  <si>
    <t xml:space="preserve">Thiết kế timeout budget giảm dần theo tầng; kết hợp idempotency.</t>
  </si>
  <si>
    <t xml:space="preserve">M23</t>
  </si>
  <si>
    <t xml:space="preserve">Soft skill</t>
  </si>
  <si>
    <t xml:space="preserve">Viết RCA sau sự cố</t>
  </si>
  <si>
    <t xml:space="preserve">PM yêu cầu báo cáo sự cố bằng tiếng Anh: chuyện gì, ảnh hưởng, nguyên nhân, phòng ngừa.</t>
  </si>
  <si>
    <t xml:space="preserve">Báo cáo blameless khác báo cáo đổ lỗi thế nào? Hành động phòng ngừa có đo được không?</t>
  </si>
  <si>
    <t xml:space="preserve">Viết RCA 1 trang cho case P50 bằng tiếng Anh, kèm email 5-7 dòng cho PM.</t>
  </si>
  <si>
    <t xml:space="preserve">#24</t>
  </si>
  <si>
    <t xml:space="preserve">M24</t>
  </si>
  <si>
    <t xml:space="preserve">Refactor</t>
  </si>
  <si>
    <t xml:space="preserve">Service 3000 dòng</t>
  </si>
  <si>
    <t xml:space="preserve">Mỗi thay đổi nhỏ trong OrderService đều làm hỏng chỗ khác.</t>
  </si>
  <si>
    <t xml:space="preserve">Trước khi refactor, làm sao biết mình không đổi hành vi?</t>
  </si>
  <si>
    <t xml:space="preserve">Viết characterization test; tách dần theo strangler pattern.</t>
  </si>
  <si>
    <t xml:space="preserve">#4</t>
  </si>
  <si>
    <t xml:space="preserve">M25</t>
  </si>
  <si>
    <t xml:space="preserve">Lỗi chỉ xảy ra trên prod</t>
  </si>
  <si>
    <t xml:space="preserve">Lỗi 0.1% request, không tái hiện được ở local.</t>
  </si>
  <si>
    <t xml:space="preserve">Cần thêm dữ liệu gì để lần sau lỗi tự 'khai' nguyên nhân?</t>
  </si>
  <si>
    <t xml:space="preserve">Thêm log có ngữ cảnh, metric, tracing; dùng feature flag để thử nghiệm an toàn.</t>
  </si>
  <si>
    <t xml:space="preserve">TIẾN ĐỘ 100 CASE THỰC CHIẾN</t>
  </si>
  <si>
    <t xml:space="preserve">Tổng</t>
  </si>
  <si>
    <t xml:space="preserve">Đã xử lý</t>
  </si>
  <si>
    <t xml:space="preserve">Đang làm</t>
  </si>
  <si>
    <t xml:space="preserve">Cần ôn lại</t>
  </si>
  <si>
    <t xml:space="preserve">% xong</t>
  </si>
  <si>
    <t xml:space="preserve">Case ưu tiên Cao còn chưa xong: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</si>
</sst>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6282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F5E9"/>
        <bgColor rgb="FFFFF8E1"/>
      </patternFill>
    </fill>
    <fill>
      <patternFill patternType="solid">
        <fgColor rgb="FFFFF8E1"/>
        <bgColor rgb="FFFDECEA"/>
      </patternFill>
    </fill>
    <fill>
      <patternFill patternType="solid">
        <fgColor rgb="FFFDECEA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  <color rgb="FFC628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DECEA"/>
      <rgbColor rgb="FFBBDEFB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1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1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48"/>
    <col collapsed="false" customWidth="true" hidden="false" outlineLevel="0" max="6" min="6" style="0" width="52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39.5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</row>
    <row r="2" customFormat="false" ht="23.85" hidden="false" customHeight="false" outlineLevel="0" collapsed="false">
      <c r="A2" s="4" t="s">
        <v>26</v>
      </c>
      <c r="B2" s="4" t="s">
        <v>27</v>
      </c>
      <c r="C2" s="5" t="s">
        <v>28</v>
      </c>
      <c r="D2" s="6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/>
    </row>
    <row r="3" customFormat="false" ht="23.85" hidden="false" customHeight="false" outlineLevel="0" collapsed="false">
      <c r="A3" s="4" t="s">
        <v>36</v>
      </c>
      <c r="B3" s="4" t="s">
        <v>27</v>
      </c>
      <c r="C3" s="5" t="s">
        <v>28</v>
      </c>
      <c r="D3" s="6" t="s">
        <v>37</v>
      </c>
      <c r="E3" s="5" t="s">
        <v>38</v>
      </c>
      <c r="F3" s="5" t="s">
        <v>39</v>
      </c>
      <c r="G3" s="5" t="s">
        <v>40</v>
      </c>
      <c r="H3" s="5" t="s">
        <v>33</v>
      </c>
      <c r="I3" s="5" t="s">
        <v>34</v>
      </c>
      <c r="J3" s="5" t="s">
        <v>35</v>
      </c>
      <c r="K3" s="5"/>
    </row>
    <row r="4" customFormat="false" ht="23.85" hidden="false" customHeight="false" outlineLevel="0" collapsed="false">
      <c r="A4" s="4" t="s">
        <v>41</v>
      </c>
      <c r="B4" s="4" t="s">
        <v>27</v>
      </c>
      <c r="C4" s="5" t="s">
        <v>42</v>
      </c>
      <c r="D4" s="6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35</v>
      </c>
      <c r="K4" s="5"/>
    </row>
    <row r="5" customFormat="false" ht="23.85" hidden="false" customHeight="false" outlineLevel="0" collapsed="false">
      <c r="A5" s="4" t="s">
        <v>49</v>
      </c>
      <c r="B5" s="4" t="s">
        <v>27</v>
      </c>
      <c r="C5" s="5" t="s">
        <v>42</v>
      </c>
      <c r="D5" s="6" t="s">
        <v>50</v>
      </c>
      <c r="E5" s="5" t="s">
        <v>51</v>
      </c>
      <c r="F5" s="5" t="s">
        <v>52</v>
      </c>
      <c r="G5" s="5" t="s">
        <v>53</v>
      </c>
      <c r="H5" s="5" t="s">
        <v>47</v>
      </c>
      <c r="I5" s="5" t="s">
        <v>48</v>
      </c>
      <c r="J5" s="5" t="s">
        <v>35</v>
      </c>
      <c r="K5" s="5"/>
    </row>
    <row r="6" customFormat="false" ht="23.85" hidden="false" customHeight="false" outlineLevel="0" collapsed="false">
      <c r="A6" s="4" t="s">
        <v>54</v>
      </c>
      <c r="B6" s="4" t="s">
        <v>27</v>
      </c>
      <c r="C6" s="5" t="s">
        <v>42</v>
      </c>
      <c r="D6" s="6" t="s">
        <v>55</v>
      </c>
      <c r="E6" s="5" t="s">
        <v>56</v>
      </c>
      <c r="F6" s="5" t="s">
        <v>57</v>
      </c>
      <c r="G6" s="5" t="s">
        <v>58</v>
      </c>
      <c r="H6" s="5" t="s">
        <v>47</v>
      </c>
      <c r="I6" s="5" t="s">
        <v>48</v>
      </c>
      <c r="J6" s="5" t="s">
        <v>35</v>
      </c>
      <c r="K6" s="5"/>
    </row>
    <row r="7" customFormat="false" ht="23.85" hidden="false" customHeight="false" outlineLevel="0" collapsed="false">
      <c r="A7" s="4" t="s">
        <v>59</v>
      </c>
      <c r="B7" s="4" t="s">
        <v>27</v>
      </c>
      <c r="C7" s="5" t="s">
        <v>28</v>
      </c>
      <c r="D7" s="6" t="s">
        <v>60</v>
      </c>
      <c r="E7" s="5" t="s">
        <v>61</v>
      </c>
      <c r="F7" s="5" t="s">
        <v>62</v>
      </c>
      <c r="G7" s="5" t="s">
        <v>63</v>
      </c>
      <c r="H7" s="5" t="s">
        <v>47</v>
      </c>
      <c r="I7" s="5" t="s">
        <v>48</v>
      </c>
      <c r="J7" s="5" t="s">
        <v>35</v>
      </c>
      <c r="K7" s="5"/>
    </row>
    <row r="8" customFormat="false" ht="23.85" hidden="false" customHeight="false" outlineLevel="0" collapsed="false">
      <c r="A8" s="4" t="s">
        <v>64</v>
      </c>
      <c r="B8" s="4" t="s">
        <v>27</v>
      </c>
      <c r="C8" s="5" t="s">
        <v>65</v>
      </c>
      <c r="D8" s="6" t="s">
        <v>66</v>
      </c>
      <c r="E8" s="5" t="s">
        <v>67</v>
      </c>
      <c r="F8" s="5" t="s">
        <v>68</v>
      </c>
      <c r="G8" s="5" t="s">
        <v>69</v>
      </c>
      <c r="H8" s="5" t="s">
        <v>47</v>
      </c>
      <c r="I8" s="5" t="s">
        <v>48</v>
      </c>
      <c r="J8" s="5" t="s">
        <v>35</v>
      </c>
      <c r="K8" s="5"/>
    </row>
    <row r="9" customFormat="false" ht="23.85" hidden="false" customHeight="false" outlineLevel="0" collapsed="false">
      <c r="A9" s="4" t="s">
        <v>70</v>
      </c>
      <c r="B9" s="4" t="s">
        <v>27</v>
      </c>
      <c r="C9" s="5" t="s">
        <v>71</v>
      </c>
      <c r="D9" s="6" t="s">
        <v>72</v>
      </c>
      <c r="E9" s="5" t="s">
        <v>73</v>
      </c>
      <c r="F9" s="5" t="s">
        <v>74</v>
      </c>
      <c r="G9" s="5" t="s">
        <v>75</v>
      </c>
      <c r="H9" s="5" t="s">
        <v>47</v>
      </c>
      <c r="I9" s="5" t="s">
        <v>48</v>
      </c>
      <c r="J9" s="5" t="s">
        <v>35</v>
      </c>
      <c r="K9" s="5"/>
    </row>
    <row r="10" customFormat="false" ht="23.85" hidden="false" customHeight="false" outlineLevel="0" collapsed="false">
      <c r="A10" s="4" t="s">
        <v>76</v>
      </c>
      <c r="B10" s="4" t="s">
        <v>27</v>
      </c>
      <c r="C10" s="5" t="s">
        <v>77</v>
      </c>
      <c r="D10" s="6" t="s">
        <v>78</v>
      </c>
      <c r="E10" s="5" t="s">
        <v>79</v>
      </c>
      <c r="F10" s="5" t="s">
        <v>80</v>
      </c>
      <c r="G10" s="5" t="s">
        <v>81</v>
      </c>
      <c r="H10" s="5" t="s">
        <v>47</v>
      </c>
      <c r="I10" s="5" t="s">
        <v>48</v>
      </c>
      <c r="J10" s="5" t="s">
        <v>35</v>
      </c>
      <c r="K10" s="5"/>
    </row>
    <row r="11" customFormat="false" ht="23.85" hidden="false" customHeight="false" outlineLevel="0" collapsed="false">
      <c r="A11" s="4" t="s">
        <v>82</v>
      </c>
      <c r="B11" s="4" t="s">
        <v>27</v>
      </c>
      <c r="C11" s="5" t="s">
        <v>83</v>
      </c>
      <c r="D11" s="6" t="s">
        <v>84</v>
      </c>
      <c r="E11" s="5" t="s">
        <v>85</v>
      </c>
      <c r="F11" s="5" t="s">
        <v>86</v>
      </c>
      <c r="G11" s="5" t="s">
        <v>87</v>
      </c>
      <c r="H11" s="5" t="s">
        <v>88</v>
      </c>
      <c r="I11" s="5" t="s">
        <v>89</v>
      </c>
      <c r="J11" s="5" t="s">
        <v>35</v>
      </c>
      <c r="K11" s="5"/>
    </row>
    <row r="12" customFormat="false" ht="23.85" hidden="false" customHeight="false" outlineLevel="0" collapsed="false">
      <c r="A12" s="4" t="s">
        <v>90</v>
      </c>
      <c r="B12" s="4" t="s">
        <v>27</v>
      </c>
      <c r="C12" s="5" t="s">
        <v>91</v>
      </c>
      <c r="D12" s="6" t="s">
        <v>92</v>
      </c>
      <c r="E12" s="5" t="s">
        <v>93</v>
      </c>
      <c r="F12" s="5" t="s">
        <v>94</v>
      </c>
      <c r="G12" s="5" t="s">
        <v>95</v>
      </c>
      <c r="H12" s="5" t="s">
        <v>47</v>
      </c>
      <c r="I12" s="5" t="s">
        <v>48</v>
      </c>
      <c r="J12" s="5" t="s">
        <v>35</v>
      </c>
      <c r="K12" s="5"/>
    </row>
    <row r="13" customFormat="false" ht="23.85" hidden="false" customHeight="false" outlineLevel="0" collapsed="false">
      <c r="A13" s="4" t="s">
        <v>96</v>
      </c>
      <c r="B13" s="4" t="s">
        <v>27</v>
      </c>
      <c r="C13" s="5" t="s">
        <v>97</v>
      </c>
      <c r="D13" s="6" t="s">
        <v>98</v>
      </c>
      <c r="E13" s="5" t="s">
        <v>99</v>
      </c>
      <c r="F13" s="5" t="s">
        <v>100</v>
      </c>
      <c r="G13" s="5" t="s">
        <v>101</v>
      </c>
      <c r="H13" s="5" t="s">
        <v>47</v>
      </c>
      <c r="I13" s="5" t="s">
        <v>48</v>
      </c>
      <c r="J13" s="5" t="s">
        <v>35</v>
      </c>
      <c r="K13" s="5"/>
    </row>
    <row r="14" customFormat="false" ht="23.85" hidden="false" customHeight="false" outlineLevel="0" collapsed="false">
      <c r="A14" s="4" t="s">
        <v>102</v>
      </c>
      <c r="B14" s="4" t="s">
        <v>27</v>
      </c>
      <c r="C14" s="5" t="s">
        <v>103</v>
      </c>
      <c r="D14" s="6" t="s">
        <v>104</v>
      </c>
      <c r="E14" s="5" t="s">
        <v>105</v>
      </c>
      <c r="F14" s="5" t="s">
        <v>106</v>
      </c>
      <c r="G14" s="5" t="s">
        <v>107</v>
      </c>
      <c r="H14" s="5" t="s">
        <v>47</v>
      </c>
      <c r="I14" s="5" t="s">
        <v>48</v>
      </c>
      <c r="J14" s="5" t="s">
        <v>35</v>
      </c>
      <c r="K14" s="5"/>
    </row>
    <row r="15" customFormat="false" ht="23.85" hidden="false" customHeight="false" outlineLevel="0" collapsed="false">
      <c r="A15" s="4" t="s">
        <v>108</v>
      </c>
      <c r="B15" s="4" t="s">
        <v>27</v>
      </c>
      <c r="C15" s="5" t="s">
        <v>109</v>
      </c>
      <c r="D15" s="6" t="s">
        <v>110</v>
      </c>
      <c r="E15" s="5" t="s">
        <v>111</v>
      </c>
      <c r="F15" s="5" t="s">
        <v>112</v>
      </c>
      <c r="G15" s="5" t="s">
        <v>113</v>
      </c>
      <c r="H15" s="5" t="s">
        <v>47</v>
      </c>
      <c r="I15" s="5" t="s">
        <v>48</v>
      </c>
      <c r="J15" s="5" t="s">
        <v>35</v>
      </c>
      <c r="K15" s="5"/>
    </row>
    <row r="16" customFormat="false" ht="23.85" hidden="false" customHeight="false" outlineLevel="0" collapsed="false">
      <c r="A16" s="4" t="s">
        <v>114</v>
      </c>
      <c r="B16" s="4" t="s">
        <v>27</v>
      </c>
      <c r="C16" s="5" t="s">
        <v>115</v>
      </c>
      <c r="D16" s="6" t="s">
        <v>116</v>
      </c>
      <c r="E16" s="5" t="s">
        <v>117</v>
      </c>
      <c r="F16" s="5" t="s">
        <v>118</v>
      </c>
      <c r="G16" s="5" t="s">
        <v>119</v>
      </c>
      <c r="H16" s="5" t="s">
        <v>47</v>
      </c>
      <c r="I16" s="5" t="s">
        <v>48</v>
      </c>
      <c r="J16" s="5" t="s">
        <v>35</v>
      </c>
      <c r="K16" s="5"/>
    </row>
    <row r="17" customFormat="false" ht="23.85" hidden="false" customHeight="false" outlineLevel="0" collapsed="false">
      <c r="A17" s="4" t="s">
        <v>120</v>
      </c>
      <c r="B17" s="4" t="s">
        <v>27</v>
      </c>
      <c r="C17" s="5" t="s">
        <v>97</v>
      </c>
      <c r="D17" s="6" t="s">
        <v>121</v>
      </c>
      <c r="E17" s="5" t="s">
        <v>122</v>
      </c>
      <c r="F17" s="5" t="s">
        <v>123</v>
      </c>
      <c r="G17" s="5" t="s">
        <v>124</v>
      </c>
      <c r="H17" s="5" t="s">
        <v>47</v>
      </c>
      <c r="I17" s="5" t="s">
        <v>48</v>
      </c>
      <c r="J17" s="5" t="s">
        <v>35</v>
      </c>
      <c r="K17" s="5"/>
    </row>
    <row r="18" customFormat="false" ht="23.85" hidden="false" customHeight="false" outlineLevel="0" collapsed="false">
      <c r="A18" s="4" t="s">
        <v>125</v>
      </c>
      <c r="B18" s="4" t="s">
        <v>27</v>
      </c>
      <c r="C18" s="5" t="s">
        <v>126</v>
      </c>
      <c r="D18" s="6" t="s">
        <v>127</v>
      </c>
      <c r="E18" s="5" t="s">
        <v>128</v>
      </c>
      <c r="F18" s="5" t="s">
        <v>129</v>
      </c>
      <c r="G18" s="5" t="s">
        <v>130</v>
      </c>
      <c r="H18" s="5" t="s">
        <v>131</v>
      </c>
      <c r="I18" s="5" t="s">
        <v>89</v>
      </c>
      <c r="J18" s="5" t="s">
        <v>35</v>
      </c>
      <c r="K18" s="5"/>
    </row>
    <row r="19" customFormat="false" ht="23.85" hidden="false" customHeight="false" outlineLevel="0" collapsed="false">
      <c r="A19" s="4" t="s">
        <v>132</v>
      </c>
      <c r="B19" s="4" t="s">
        <v>27</v>
      </c>
      <c r="C19" s="5" t="s">
        <v>133</v>
      </c>
      <c r="D19" s="6" t="s">
        <v>134</v>
      </c>
      <c r="E19" s="5" t="s">
        <v>135</v>
      </c>
      <c r="F19" s="5" t="s">
        <v>136</v>
      </c>
      <c r="G19" s="5" t="s">
        <v>137</v>
      </c>
      <c r="H19" s="5" t="s">
        <v>138</v>
      </c>
      <c r="I19" s="5" t="s">
        <v>34</v>
      </c>
      <c r="J19" s="5" t="s">
        <v>35</v>
      </c>
      <c r="K19" s="5"/>
    </row>
    <row r="20" customFormat="false" ht="23.85" hidden="false" customHeight="false" outlineLevel="0" collapsed="false">
      <c r="A20" s="4" t="s">
        <v>139</v>
      </c>
      <c r="B20" s="4" t="s">
        <v>27</v>
      </c>
      <c r="C20" s="5" t="s">
        <v>83</v>
      </c>
      <c r="D20" s="6" t="s">
        <v>140</v>
      </c>
      <c r="E20" s="5" t="s">
        <v>141</v>
      </c>
      <c r="F20" s="5" t="s">
        <v>142</v>
      </c>
      <c r="G20" s="5" t="s">
        <v>143</v>
      </c>
      <c r="H20" s="5" t="s">
        <v>47</v>
      </c>
      <c r="I20" s="5" t="s">
        <v>48</v>
      </c>
      <c r="J20" s="5" t="s">
        <v>35</v>
      </c>
      <c r="K20" s="5"/>
    </row>
    <row r="21" customFormat="false" ht="23.85" hidden="false" customHeight="false" outlineLevel="0" collapsed="false">
      <c r="A21" s="4" t="s">
        <v>144</v>
      </c>
      <c r="B21" s="4" t="s">
        <v>27</v>
      </c>
      <c r="C21" s="5" t="s">
        <v>145</v>
      </c>
      <c r="D21" s="6" t="s">
        <v>146</v>
      </c>
      <c r="E21" s="5" t="s">
        <v>147</v>
      </c>
      <c r="F21" s="5" t="s">
        <v>148</v>
      </c>
      <c r="G21" s="5" t="s">
        <v>149</v>
      </c>
      <c r="H21" s="5" t="s">
        <v>47</v>
      </c>
      <c r="I21" s="5" t="s">
        <v>48</v>
      </c>
      <c r="J21" s="5" t="s">
        <v>35</v>
      </c>
      <c r="K21" s="5"/>
    </row>
    <row r="22" customFormat="false" ht="23.85" hidden="false" customHeight="false" outlineLevel="0" collapsed="false">
      <c r="A22" s="4" t="s">
        <v>150</v>
      </c>
      <c r="B22" s="4" t="s">
        <v>27</v>
      </c>
      <c r="C22" s="5" t="s">
        <v>151</v>
      </c>
      <c r="D22" s="6" t="s">
        <v>152</v>
      </c>
      <c r="E22" s="5" t="s">
        <v>153</v>
      </c>
      <c r="F22" s="5" t="s">
        <v>154</v>
      </c>
      <c r="G22" s="5" t="s">
        <v>155</v>
      </c>
      <c r="H22" s="5" t="s">
        <v>156</v>
      </c>
      <c r="I22" s="5" t="s">
        <v>34</v>
      </c>
      <c r="J22" s="5" t="s">
        <v>35</v>
      </c>
      <c r="K22" s="5"/>
    </row>
    <row r="23" customFormat="false" ht="23.85" hidden="false" customHeight="false" outlineLevel="0" collapsed="false">
      <c r="A23" s="4" t="s">
        <v>157</v>
      </c>
      <c r="B23" s="4" t="s">
        <v>27</v>
      </c>
      <c r="C23" s="5" t="s">
        <v>97</v>
      </c>
      <c r="D23" s="6" t="s">
        <v>158</v>
      </c>
      <c r="E23" s="5" t="s">
        <v>159</v>
      </c>
      <c r="F23" s="5" t="s">
        <v>160</v>
      </c>
      <c r="G23" s="5" t="s">
        <v>161</v>
      </c>
      <c r="H23" s="5" t="s">
        <v>33</v>
      </c>
      <c r="I23" s="5" t="s">
        <v>34</v>
      </c>
      <c r="J23" s="5" t="s">
        <v>35</v>
      </c>
      <c r="K23" s="5"/>
    </row>
    <row r="24" customFormat="false" ht="23.85" hidden="false" customHeight="false" outlineLevel="0" collapsed="false">
      <c r="A24" s="4" t="s">
        <v>162</v>
      </c>
      <c r="B24" s="4" t="s">
        <v>27</v>
      </c>
      <c r="C24" s="5" t="s">
        <v>91</v>
      </c>
      <c r="D24" s="6" t="s">
        <v>163</v>
      </c>
      <c r="E24" s="5" t="s">
        <v>164</v>
      </c>
      <c r="F24" s="5" t="s">
        <v>165</v>
      </c>
      <c r="G24" s="5" t="s">
        <v>166</v>
      </c>
      <c r="H24" s="5" t="s">
        <v>47</v>
      </c>
      <c r="I24" s="5" t="s">
        <v>48</v>
      </c>
      <c r="J24" s="5" t="s">
        <v>35</v>
      </c>
      <c r="K24" s="5"/>
    </row>
    <row r="25" customFormat="false" ht="23.85" hidden="false" customHeight="false" outlineLevel="0" collapsed="false">
      <c r="A25" s="4" t="s">
        <v>167</v>
      </c>
      <c r="B25" s="4" t="s">
        <v>27</v>
      </c>
      <c r="C25" s="5" t="s">
        <v>168</v>
      </c>
      <c r="D25" s="6" t="s">
        <v>169</v>
      </c>
      <c r="E25" s="5" t="s">
        <v>170</v>
      </c>
      <c r="F25" s="5" t="s">
        <v>171</v>
      </c>
      <c r="G25" s="5" t="s">
        <v>172</v>
      </c>
      <c r="H25" s="5" t="s">
        <v>173</v>
      </c>
      <c r="I25" s="5" t="s">
        <v>34</v>
      </c>
      <c r="J25" s="5" t="s">
        <v>35</v>
      </c>
      <c r="K25" s="5"/>
    </row>
    <row r="26" customFormat="false" ht="23.85" hidden="false" customHeight="false" outlineLevel="0" collapsed="false">
      <c r="A26" s="4" t="s">
        <v>174</v>
      </c>
      <c r="B26" s="4" t="s">
        <v>27</v>
      </c>
      <c r="C26" s="5" t="s">
        <v>175</v>
      </c>
      <c r="D26" s="6" t="s">
        <v>176</v>
      </c>
      <c r="E26" s="5" t="s">
        <v>177</v>
      </c>
      <c r="F26" s="5" t="s">
        <v>178</v>
      </c>
      <c r="G26" s="5" t="s">
        <v>179</v>
      </c>
      <c r="H26" s="5" t="s">
        <v>180</v>
      </c>
      <c r="I26" s="5" t="s">
        <v>89</v>
      </c>
      <c r="J26" s="5" t="s">
        <v>35</v>
      </c>
      <c r="K26" s="5"/>
    </row>
    <row r="27" customFormat="false" ht="23.85" hidden="false" customHeight="false" outlineLevel="0" collapsed="false">
      <c r="A27" s="7" t="s">
        <v>181</v>
      </c>
      <c r="B27" s="7" t="s">
        <v>182</v>
      </c>
      <c r="C27" s="5" t="s">
        <v>97</v>
      </c>
      <c r="D27" s="6" t="s">
        <v>183</v>
      </c>
      <c r="E27" s="5" t="s">
        <v>184</v>
      </c>
      <c r="F27" s="5" t="s">
        <v>185</v>
      </c>
      <c r="G27" s="5" t="s">
        <v>186</v>
      </c>
      <c r="H27" s="5" t="s">
        <v>187</v>
      </c>
      <c r="I27" s="5" t="s">
        <v>89</v>
      </c>
      <c r="J27" s="5" t="s">
        <v>35</v>
      </c>
      <c r="K27" s="5"/>
    </row>
    <row r="28" customFormat="false" ht="23.85" hidden="false" customHeight="false" outlineLevel="0" collapsed="false">
      <c r="A28" s="7" t="s">
        <v>188</v>
      </c>
      <c r="B28" s="7" t="s">
        <v>182</v>
      </c>
      <c r="C28" s="5" t="s">
        <v>97</v>
      </c>
      <c r="D28" s="6" t="s">
        <v>189</v>
      </c>
      <c r="E28" s="5" t="s">
        <v>190</v>
      </c>
      <c r="F28" s="5" t="s">
        <v>191</v>
      </c>
      <c r="G28" s="5" t="s">
        <v>192</v>
      </c>
      <c r="H28" s="5" t="s">
        <v>193</v>
      </c>
      <c r="I28" s="5" t="s">
        <v>89</v>
      </c>
      <c r="J28" s="5" t="s">
        <v>35</v>
      </c>
      <c r="K28" s="5"/>
    </row>
    <row r="29" customFormat="false" ht="23.85" hidden="false" customHeight="false" outlineLevel="0" collapsed="false">
      <c r="A29" s="7" t="s">
        <v>194</v>
      </c>
      <c r="B29" s="7" t="s">
        <v>182</v>
      </c>
      <c r="C29" s="5" t="s">
        <v>97</v>
      </c>
      <c r="D29" s="6" t="s">
        <v>195</v>
      </c>
      <c r="E29" s="5" t="s">
        <v>196</v>
      </c>
      <c r="F29" s="5" t="s">
        <v>197</v>
      </c>
      <c r="G29" s="5" t="s">
        <v>198</v>
      </c>
      <c r="H29" s="5" t="s">
        <v>193</v>
      </c>
      <c r="I29" s="5" t="s">
        <v>89</v>
      </c>
      <c r="J29" s="5" t="s">
        <v>35</v>
      </c>
      <c r="K29" s="5"/>
    </row>
    <row r="30" customFormat="false" ht="23.85" hidden="false" customHeight="false" outlineLevel="0" collapsed="false">
      <c r="A30" s="7" t="s">
        <v>199</v>
      </c>
      <c r="B30" s="7" t="s">
        <v>182</v>
      </c>
      <c r="C30" s="5" t="s">
        <v>97</v>
      </c>
      <c r="D30" s="6" t="s">
        <v>200</v>
      </c>
      <c r="E30" s="5" t="s">
        <v>201</v>
      </c>
      <c r="F30" s="5" t="s">
        <v>202</v>
      </c>
      <c r="G30" s="5" t="s">
        <v>203</v>
      </c>
      <c r="H30" s="5" t="s">
        <v>193</v>
      </c>
      <c r="I30" s="5" t="s">
        <v>89</v>
      </c>
      <c r="J30" s="5" t="s">
        <v>35</v>
      </c>
      <c r="K30" s="5"/>
    </row>
    <row r="31" customFormat="false" ht="23.85" hidden="false" customHeight="false" outlineLevel="0" collapsed="false">
      <c r="A31" s="7" t="s">
        <v>204</v>
      </c>
      <c r="B31" s="7" t="s">
        <v>182</v>
      </c>
      <c r="C31" s="5" t="s">
        <v>205</v>
      </c>
      <c r="D31" s="6" t="s">
        <v>206</v>
      </c>
      <c r="E31" s="5" t="s">
        <v>207</v>
      </c>
      <c r="F31" s="5" t="s">
        <v>208</v>
      </c>
      <c r="G31" s="5" t="s">
        <v>209</v>
      </c>
      <c r="H31" s="5" t="s">
        <v>210</v>
      </c>
      <c r="I31" s="5" t="s">
        <v>34</v>
      </c>
      <c r="J31" s="5" t="s">
        <v>35</v>
      </c>
      <c r="K31" s="5"/>
    </row>
    <row r="32" customFormat="false" ht="23.85" hidden="false" customHeight="false" outlineLevel="0" collapsed="false">
      <c r="A32" s="7" t="s">
        <v>211</v>
      </c>
      <c r="B32" s="7" t="s">
        <v>182</v>
      </c>
      <c r="C32" s="5" t="s">
        <v>205</v>
      </c>
      <c r="D32" s="6" t="s">
        <v>212</v>
      </c>
      <c r="E32" s="5" t="s">
        <v>213</v>
      </c>
      <c r="F32" s="5" t="s">
        <v>214</v>
      </c>
      <c r="G32" s="5" t="s">
        <v>215</v>
      </c>
      <c r="H32" s="5" t="s">
        <v>210</v>
      </c>
      <c r="I32" s="5" t="s">
        <v>34</v>
      </c>
      <c r="J32" s="5" t="s">
        <v>35</v>
      </c>
      <c r="K32" s="5"/>
    </row>
    <row r="33" customFormat="false" ht="23.85" hidden="false" customHeight="false" outlineLevel="0" collapsed="false">
      <c r="A33" s="7" t="s">
        <v>216</v>
      </c>
      <c r="B33" s="7" t="s">
        <v>182</v>
      </c>
      <c r="C33" s="5" t="s">
        <v>205</v>
      </c>
      <c r="D33" s="6" t="s">
        <v>217</v>
      </c>
      <c r="E33" s="5" t="s">
        <v>218</v>
      </c>
      <c r="F33" s="5" t="s">
        <v>219</v>
      </c>
      <c r="G33" s="5" t="s">
        <v>220</v>
      </c>
      <c r="H33" s="5" t="s">
        <v>210</v>
      </c>
      <c r="I33" s="5" t="s">
        <v>34</v>
      </c>
      <c r="J33" s="5" t="s">
        <v>35</v>
      </c>
      <c r="K33" s="5"/>
    </row>
    <row r="34" customFormat="false" ht="23.85" hidden="false" customHeight="false" outlineLevel="0" collapsed="false">
      <c r="A34" s="7" t="s">
        <v>221</v>
      </c>
      <c r="B34" s="7" t="s">
        <v>182</v>
      </c>
      <c r="C34" s="5" t="s">
        <v>205</v>
      </c>
      <c r="D34" s="6" t="s">
        <v>222</v>
      </c>
      <c r="E34" s="5" t="s">
        <v>223</v>
      </c>
      <c r="F34" s="5" t="s">
        <v>224</v>
      </c>
      <c r="G34" s="5" t="s">
        <v>225</v>
      </c>
      <c r="H34" s="5" t="s">
        <v>210</v>
      </c>
      <c r="I34" s="5" t="s">
        <v>34</v>
      </c>
      <c r="J34" s="5" t="s">
        <v>35</v>
      </c>
      <c r="K34" s="5"/>
    </row>
    <row r="35" customFormat="false" ht="23.85" hidden="false" customHeight="false" outlineLevel="0" collapsed="false">
      <c r="A35" s="7" t="s">
        <v>226</v>
      </c>
      <c r="B35" s="7" t="s">
        <v>182</v>
      </c>
      <c r="C35" s="5" t="s">
        <v>227</v>
      </c>
      <c r="D35" s="6" t="s">
        <v>228</v>
      </c>
      <c r="E35" s="5" t="s">
        <v>229</v>
      </c>
      <c r="F35" s="5" t="s">
        <v>230</v>
      </c>
      <c r="G35" s="5" t="s">
        <v>231</v>
      </c>
      <c r="H35" s="5" t="s">
        <v>210</v>
      </c>
      <c r="I35" s="5" t="s">
        <v>34</v>
      </c>
      <c r="J35" s="5" t="s">
        <v>35</v>
      </c>
      <c r="K35" s="5"/>
    </row>
    <row r="36" customFormat="false" ht="23.85" hidden="false" customHeight="false" outlineLevel="0" collapsed="false">
      <c r="A36" s="7" t="s">
        <v>232</v>
      </c>
      <c r="B36" s="7" t="s">
        <v>182</v>
      </c>
      <c r="C36" s="5" t="s">
        <v>97</v>
      </c>
      <c r="D36" s="6" t="s">
        <v>233</v>
      </c>
      <c r="E36" s="5" t="s">
        <v>234</v>
      </c>
      <c r="F36" s="5" t="s">
        <v>235</v>
      </c>
      <c r="G36" s="5" t="s">
        <v>236</v>
      </c>
      <c r="H36" s="5" t="s">
        <v>187</v>
      </c>
      <c r="I36" s="5" t="s">
        <v>89</v>
      </c>
      <c r="J36" s="5" t="s">
        <v>35</v>
      </c>
      <c r="K36" s="5"/>
    </row>
    <row r="37" customFormat="false" ht="23.85" hidden="false" customHeight="false" outlineLevel="0" collapsed="false">
      <c r="A37" s="7" t="s">
        <v>237</v>
      </c>
      <c r="B37" s="7" t="s">
        <v>182</v>
      </c>
      <c r="C37" s="5" t="s">
        <v>238</v>
      </c>
      <c r="D37" s="6" t="s">
        <v>239</v>
      </c>
      <c r="E37" s="5" t="s">
        <v>240</v>
      </c>
      <c r="F37" s="5" t="s">
        <v>241</v>
      </c>
      <c r="G37" s="5" t="s">
        <v>242</v>
      </c>
      <c r="H37" s="5" t="s">
        <v>180</v>
      </c>
      <c r="I37" s="5" t="s">
        <v>89</v>
      </c>
      <c r="J37" s="5" t="s">
        <v>35</v>
      </c>
      <c r="K37" s="5"/>
    </row>
    <row r="38" customFormat="false" ht="23.85" hidden="false" customHeight="false" outlineLevel="0" collapsed="false">
      <c r="A38" s="7" t="s">
        <v>243</v>
      </c>
      <c r="B38" s="7" t="s">
        <v>182</v>
      </c>
      <c r="C38" s="5" t="s">
        <v>238</v>
      </c>
      <c r="D38" s="6" t="s">
        <v>244</v>
      </c>
      <c r="E38" s="5" t="s">
        <v>245</v>
      </c>
      <c r="F38" s="5" t="s">
        <v>246</v>
      </c>
      <c r="G38" s="5" t="s">
        <v>247</v>
      </c>
      <c r="H38" s="5" t="s">
        <v>180</v>
      </c>
      <c r="I38" s="5" t="s">
        <v>89</v>
      </c>
      <c r="J38" s="5" t="s">
        <v>35</v>
      </c>
      <c r="K38" s="5"/>
    </row>
    <row r="39" customFormat="false" ht="23.85" hidden="false" customHeight="false" outlineLevel="0" collapsed="false">
      <c r="A39" s="7" t="s">
        <v>248</v>
      </c>
      <c r="B39" s="7" t="s">
        <v>182</v>
      </c>
      <c r="C39" s="5" t="s">
        <v>238</v>
      </c>
      <c r="D39" s="6" t="s">
        <v>249</v>
      </c>
      <c r="E39" s="5" t="s">
        <v>250</v>
      </c>
      <c r="F39" s="5" t="s">
        <v>251</v>
      </c>
      <c r="G39" s="5" t="s">
        <v>252</v>
      </c>
      <c r="H39" s="5" t="s">
        <v>180</v>
      </c>
      <c r="I39" s="5" t="s">
        <v>89</v>
      </c>
      <c r="J39" s="5" t="s">
        <v>35</v>
      </c>
      <c r="K39" s="5"/>
    </row>
    <row r="40" customFormat="false" ht="23.85" hidden="false" customHeight="false" outlineLevel="0" collapsed="false">
      <c r="A40" s="7" t="s">
        <v>253</v>
      </c>
      <c r="B40" s="7" t="s">
        <v>182</v>
      </c>
      <c r="C40" s="5" t="s">
        <v>238</v>
      </c>
      <c r="D40" s="6" t="s">
        <v>254</v>
      </c>
      <c r="E40" s="5" t="s">
        <v>255</v>
      </c>
      <c r="F40" s="5" t="s">
        <v>256</v>
      </c>
      <c r="G40" s="5" t="s">
        <v>257</v>
      </c>
      <c r="H40" s="5" t="s">
        <v>180</v>
      </c>
      <c r="I40" s="5" t="s">
        <v>89</v>
      </c>
      <c r="J40" s="5" t="s">
        <v>35</v>
      </c>
      <c r="K40" s="5"/>
    </row>
    <row r="41" customFormat="false" ht="23.85" hidden="false" customHeight="false" outlineLevel="0" collapsed="false">
      <c r="A41" s="7" t="s">
        <v>258</v>
      </c>
      <c r="B41" s="7" t="s">
        <v>182</v>
      </c>
      <c r="C41" s="5" t="s">
        <v>259</v>
      </c>
      <c r="D41" s="6" t="s">
        <v>260</v>
      </c>
      <c r="E41" s="5" t="s">
        <v>261</v>
      </c>
      <c r="F41" s="5" t="s">
        <v>262</v>
      </c>
      <c r="G41" s="5" t="s">
        <v>263</v>
      </c>
      <c r="H41" s="5" t="s">
        <v>264</v>
      </c>
      <c r="I41" s="5" t="s">
        <v>34</v>
      </c>
      <c r="J41" s="5" t="s">
        <v>35</v>
      </c>
      <c r="K41" s="5"/>
    </row>
    <row r="42" customFormat="false" ht="23.85" hidden="false" customHeight="false" outlineLevel="0" collapsed="false">
      <c r="A42" s="7" t="s">
        <v>265</v>
      </c>
      <c r="B42" s="7" t="s">
        <v>182</v>
      </c>
      <c r="C42" s="5" t="s">
        <v>259</v>
      </c>
      <c r="D42" s="6" t="s">
        <v>266</v>
      </c>
      <c r="E42" s="5" t="s">
        <v>267</v>
      </c>
      <c r="F42" s="5" t="s">
        <v>268</v>
      </c>
      <c r="G42" s="5" t="s">
        <v>269</v>
      </c>
      <c r="H42" s="5" t="s">
        <v>264</v>
      </c>
      <c r="I42" s="5" t="s">
        <v>34</v>
      </c>
      <c r="J42" s="5" t="s">
        <v>35</v>
      </c>
      <c r="K42" s="5"/>
    </row>
    <row r="43" customFormat="false" ht="23.85" hidden="false" customHeight="false" outlineLevel="0" collapsed="false">
      <c r="A43" s="7" t="s">
        <v>270</v>
      </c>
      <c r="B43" s="7" t="s">
        <v>182</v>
      </c>
      <c r="C43" s="5" t="s">
        <v>271</v>
      </c>
      <c r="D43" s="6" t="s">
        <v>272</v>
      </c>
      <c r="E43" s="5" t="s">
        <v>273</v>
      </c>
      <c r="F43" s="5" t="s">
        <v>274</v>
      </c>
      <c r="G43" s="5" t="s">
        <v>275</v>
      </c>
      <c r="H43" s="5" t="s">
        <v>276</v>
      </c>
      <c r="I43" s="5" t="s">
        <v>34</v>
      </c>
      <c r="J43" s="5" t="s">
        <v>35</v>
      </c>
      <c r="K43" s="5"/>
    </row>
    <row r="44" customFormat="false" ht="23.85" hidden="false" customHeight="false" outlineLevel="0" collapsed="false">
      <c r="A44" s="7" t="s">
        <v>277</v>
      </c>
      <c r="B44" s="7" t="s">
        <v>182</v>
      </c>
      <c r="C44" s="5" t="s">
        <v>126</v>
      </c>
      <c r="D44" s="6" t="s">
        <v>278</v>
      </c>
      <c r="E44" s="5" t="s">
        <v>279</v>
      </c>
      <c r="F44" s="5" t="s">
        <v>280</v>
      </c>
      <c r="G44" s="5" t="s">
        <v>281</v>
      </c>
      <c r="H44" s="5" t="s">
        <v>282</v>
      </c>
      <c r="I44" s="5" t="s">
        <v>89</v>
      </c>
      <c r="J44" s="5" t="s">
        <v>35</v>
      </c>
      <c r="K44" s="5"/>
    </row>
    <row r="45" customFormat="false" ht="15" hidden="false" customHeight="false" outlineLevel="0" collapsed="false">
      <c r="A45" s="7" t="s">
        <v>283</v>
      </c>
      <c r="B45" s="7" t="s">
        <v>182</v>
      </c>
      <c r="C45" s="5" t="s">
        <v>284</v>
      </c>
      <c r="D45" s="6" t="s">
        <v>285</v>
      </c>
      <c r="E45" s="5" t="s">
        <v>286</v>
      </c>
      <c r="F45" s="5" t="s">
        <v>287</v>
      </c>
      <c r="G45" s="5" t="s">
        <v>288</v>
      </c>
      <c r="H45" s="5" t="s">
        <v>289</v>
      </c>
      <c r="I45" s="5" t="s">
        <v>89</v>
      </c>
      <c r="J45" s="5" t="s">
        <v>35</v>
      </c>
      <c r="K45" s="5"/>
    </row>
    <row r="46" customFormat="false" ht="35.05" hidden="false" customHeight="false" outlineLevel="0" collapsed="false">
      <c r="A46" s="7" t="s">
        <v>290</v>
      </c>
      <c r="B46" s="7" t="s">
        <v>182</v>
      </c>
      <c r="C46" s="5" t="s">
        <v>291</v>
      </c>
      <c r="D46" s="6" t="s">
        <v>292</v>
      </c>
      <c r="E46" s="5" t="s">
        <v>293</v>
      </c>
      <c r="F46" s="5" t="s">
        <v>294</v>
      </c>
      <c r="G46" s="5" t="s">
        <v>295</v>
      </c>
      <c r="H46" s="5" t="s">
        <v>210</v>
      </c>
      <c r="I46" s="5" t="s">
        <v>34</v>
      </c>
      <c r="J46" s="5" t="s">
        <v>35</v>
      </c>
      <c r="K46" s="5"/>
    </row>
    <row r="47" customFormat="false" ht="23.85" hidden="false" customHeight="false" outlineLevel="0" collapsed="false">
      <c r="A47" s="7" t="s">
        <v>296</v>
      </c>
      <c r="B47" s="7" t="s">
        <v>182</v>
      </c>
      <c r="C47" s="5" t="s">
        <v>297</v>
      </c>
      <c r="D47" s="6" t="s">
        <v>298</v>
      </c>
      <c r="E47" s="5" t="s">
        <v>299</v>
      </c>
      <c r="F47" s="5" t="s">
        <v>300</v>
      </c>
      <c r="G47" s="5" t="s">
        <v>301</v>
      </c>
      <c r="H47" s="5" t="s">
        <v>47</v>
      </c>
      <c r="I47" s="5" t="s">
        <v>48</v>
      </c>
      <c r="J47" s="5" t="s">
        <v>35</v>
      </c>
      <c r="K47" s="5"/>
    </row>
    <row r="48" customFormat="false" ht="23.85" hidden="false" customHeight="false" outlineLevel="0" collapsed="false">
      <c r="A48" s="7" t="s">
        <v>302</v>
      </c>
      <c r="B48" s="7" t="s">
        <v>182</v>
      </c>
      <c r="C48" s="5" t="s">
        <v>303</v>
      </c>
      <c r="D48" s="6" t="s">
        <v>304</v>
      </c>
      <c r="E48" s="5" t="s">
        <v>305</v>
      </c>
      <c r="F48" s="5" t="s">
        <v>306</v>
      </c>
      <c r="G48" s="5" t="s">
        <v>307</v>
      </c>
      <c r="H48" s="5" t="s">
        <v>47</v>
      </c>
      <c r="I48" s="5" t="s">
        <v>48</v>
      </c>
      <c r="J48" s="5" t="s">
        <v>35</v>
      </c>
      <c r="K48" s="5"/>
    </row>
    <row r="49" customFormat="false" ht="23.85" hidden="false" customHeight="false" outlineLevel="0" collapsed="false">
      <c r="A49" s="7" t="s">
        <v>308</v>
      </c>
      <c r="B49" s="7" t="s">
        <v>182</v>
      </c>
      <c r="C49" s="5" t="s">
        <v>303</v>
      </c>
      <c r="D49" s="6" t="s">
        <v>309</v>
      </c>
      <c r="E49" s="5" t="s">
        <v>310</v>
      </c>
      <c r="F49" s="5" t="s">
        <v>311</v>
      </c>
      <c r="G49" s="5" t="s">
        <v>312</v>
      </c>
      <c r="H49" s="5" t="s">
        <v>47</v>
      </c>
      <c r="I49" s="5" t="s">
        <v>48</v>
      </c>
      <c r="J49" s="5" t="s">
        <v>35</v>
      </c>
      <c r="K49" s="5"/>
    </row>
    <row r="50" customFormat="false" ht="23.85" hidden="false" customHeight="false" outlineLevel="0" collapsed="false">
      <c r="A50" s="7" t="s">
        <v>313</v>
      </c>
      <c r="B50" s="7" t="s">
        <v>182</v>
      </c>
      <c r="C50" s="5" t="s">
        <v>91</v>
      </c>
      <c r="D50" s="6" t="s">
        <v>314</v>
      </c>
      <c r="E50" s="5" t="s">
        <v>315</v>
      </c>
      <c r="F50" s="5" t="s">
        <v>316</v>
      </c>
      <c r="G50" s="5" t="s">
        <v>317</v>
      </c>
      <c r="H50" s="5" t="s">
        <v>318</v>
      </c>
      <c r="I50" s="5" t="s">
        <v>34</v>
      </c>
      <c r="J50" s="5" t="s">
        <v>35</v>
      </c>
      <c r="K50" s="5"/>
    </row>
    <row r="51" customFormat="false" ht="23.85" hidden="false" customHeight="false" outlineLevel="0" collapsed="false">
      <c r="A51" s="7" t="s">
        <v>319</v>
      </c>
      <c r="B51" s="7" t="s">
        <v>182</v>
      </c>
      <c r="C51" s="5" t="s">
        <v>91</v>
      </c>
      <c r="D51" s="6" t="s">
        <v>320</v>
      </c>
      <c r="E51" s="5" t="s">
        <v>321</v>
      </c>
      <c r="F51" s="5" t="s">
        <v>322</v>
      </c>
      <c r="G51" s="5" t="s">
        <v>323</v>
      </c>
      <c r="H51" s="5" t="s">
        <v>318</v>
      </c>
      <c r="I51" s="5" t="s">
        <v>34</v>
      </c>
      <c r="J51" s="5" t="s">
        <v>35</v>
      </c>
      <c r="K51" s="5"/>
    </row>
    <row r="52" customFormat="false" ht="23.85" hidden="false" customHeight="false" outlineLevel="0" collapsed="false">
      <c r="A52" s="7" t="s">
        <v>324</v>
      </c>
      <c r="B52" s="7" t="s">
        <v>182</v>
      </c>
      <c r="C52" s="5" t="s">
        <v>91</v>
      </c>
      <c r="D52" s="6" t="s">
        <v>325</v>
      </c>
      <c r="E52" s="5" t="s">
        <v>326</v>
      </c>
      <c r="F52" s="5" t="s">
        <v>327</v>
      </c>
      <c r="G52" s="5" t="s">
        <v>328</v>
      </c>
      <c r="H52" s="5" t="s">
        <v>173</v>
      </c>
      <c r="I52" s="5" t="s">
        <v>34</v>
      </c>
      <c r="J52" s="5" t="s">
        <v>35</v>
      </c>
      <c r="K52" s="5"/>
    </row>
    <row r="53" customFormat="false" ht="15" hidden="false" customHeight="false" outlineLevel="0" collapsed="false">
      <c r="A53" s="7" t="s">
        <v>329</v>
      </c>
      <c r="B53" s="7" t="s">
        <v>182</v>
      </c>
      <c r="C53" s="5" t="s">
        <v>91</v>
      </c>
      <c r="D53" s="6" t="s">
        <v>330</v>
      </c>
      <c r="E53" s="5" t="s">
        <v>331</v>
      </c>
      <c r="F53" s="5" t="s">
        <v>332</v>
      </c>
      <c r="G53" s="5" t="s">
        <v>333</v>
      </c>
      <c r="H53" s="5" t="s">
        <v>173</v>
      </c>
      <c r="I53" s="5" t="s">
        <v>34</v>
      </c>
      <c r="J53" s="5" t="s">
        <v>35</v>
      </c>
      <c r="K53" s="5"/>
    </row>
    <row r="54" customFormat="false" ht="23.85" hidden="false" customHeight="false" outlineLevel="0" collapsed="false">
      <c r="A54" s="7" t="s">
        <v>334</v>
      </c>
      <c r="B54" s="7" t="s">
        <v>182</v>
      </c>
      <c r="C54" s="5" t="s">
        <v>91</v>
      </c>
      <c r="D54" s="6" t="s">
        <v>335</v>
      </c>
      <c r="E54" s="5" t="s">
        <v>336</v>
      </c>
      <c r="F54" s="5" t="s">
        <v>337</v>
      </c>
      <c r="G54" s="5" t="s">
        <v>338</v>
      </c>
      <c r="H54" s="5" t="s">
        <v>339</v>
      </c>
      <c r="I54" s="5" t="s">
        <v>34</v>
      </c>
      <c r="J54" s="5" t="s">
        <v>35</v>
      </c>
      <c r="K54" s="5"/>
    </row>
    <row r="55" customFormat="false" ht="23.85" hidden="false" customHeight="false" outlineLevel="0" collapsed="false">
      <c r="A55" s="7" t="s">
        <v>340</v>
      </c>
      <c r="B55" s="7" t="s">
        <v>182</v>
      </c>
      <c r="C55" s="5" t="s">
        <v>91</v>
      </c>
      <c r="D55" s="6" t="s">
        <v>341</v>
      </c>
      <c r="E55" s="5" t="s">
        <v>342</v>
      </c>
      <c r="F55" s="5" t="s">
        <v>343</v>
      </c>
      <c r="G55" s="5" t="s">
        <v>344</v>
      </c>
      <c r="H55" s="5" t="s">
        <v>339</v>
      </c>
      <c r="I55" s="5" t="s">
        <v>34</v>
      </c>
      <c r="J55" s="5" t="s">
        <v>35</v>
      </c>
      <c r="K55" s="5"/>
    </row>
    <row r="56" customFormat="false" ht="15" hidden="false" customHeight="false" outlineLevel="0" collapsed="false">
      <c r="A56" s="7" t="s">
        <v>345</v>
      </c>
      <c r="B56" s="7" t="s">
        <v>182</v>
      </c>
      <c r="C56" s="5" t="s">
        <v>346</v>
      </c>
      <c r="D56" s="6" t="s">
        <v>347</v>
      </c>
      <c r="E56" s="5" t="s">
        <v>348</v>
      </c>
      <c r="F56" s="5" t="s">
        <v>349</v>
      </c>
      <c r="G56" s="5" t="s">
        <v>350</v>
      </c>
      <c r="H56" s="5" t="s">
        <v>351</v>
      </c>
      <c r="I56" s="5" t="s">
        <v>89</v>
      </c>
      <c r="J56" s="5" t="s">
        <v>35</v>
      </c>
      <c r="K56" s="5"/>
    </row>
    <row r="57" customFormat="false" ht="23.85" hidden="false" customHeight="false" outlineLevel="0" collapsed="false">
      <c r="A57" s="7" t="s">
        <v>352</v>
      </c>
      <c r="B57" s="7" t="s">
        <v>182</v>
      </c>
      <c r="C57" s="5" t="s">
        <v>346</v>
      </c>
      <c r="D57" s="6" t="s">
        <v>353</v>
      </c>
      <c r="E57" s="5" t="s">
        <v>354</v>
      </c>
      <c r="F57" s="5" t="s">
        <v>355</v>
      </c>
      <c r="G57" s="5" t="s">
        <v>356</v>
      </c>
      <c r="H57" s="5" t="s">
        <v>351</v>
      </c>
      <c r="I57" s="5" t="s">
        <v>89</v>
      </c>
      <c r="J57" s="5" t="s">
        <v>35</v>
      </c>
      <c r="K57" s="5"/>
    </row>
    <row r="58" customFormat="false" ht="23.85" hidden="false" customHeight="false" outlineLevel="0" collapsed="false">
      <c r="A58" s="7" t="s">
        <v>357</v>
      </c>
      <c r="B58" s="7" t="s">
        <v>182</v>
      </c>
      <c r="C58" s="5" t="s">
        <v>346</v>
      </c>
      <c r="D58" s="6" t="s">
        <v>358</v>
      </c>
      <c r="E58" s="5" t="s">
        <v>359</v>
      </c>
      <c r="F58" s="5" t="s">
        <v>360</v>
      </c>
      <c r="G58" s="5" t="s">
        <v>361</v>
      </c>
      <c r="H58" s="5" t="s">
        <v>351</v>
      </c>
      <c r="I58" s="5" t="s">
        <v>89</v>
      </c>
      <c r="J58" s="5" t="s">
        <v>35</v>
      </c>
      <c r="K58" s="5"/>
    </row>
    <row r="59" customFormat="false" ht="23.85" hidden="false" customHeight="false" outlineLevel="0" collapsed="false">
      <c r="A59" s="7" t="s">
        <v>362</v>
      </c>
      <c r="B59" s="7" t="s">
        <v>182</v>
      </c>
      <c r="C59" s="5" t="s">
        <v>363</v>
      </c>
      <c r="D59" s="6" t="s">
        <v>364</v>
      </c>
      <c r="E59" s="5" t="s">
        <v>365</v>
      </c>
      <c r="F59" s="5" t="s">
        <v>366</v>
      </c>
      <c r="G59" s="5" t="s">
        <v>367</v>
      </c>
      <c r="H59" s="5" t="s">
        <v>368</v>
      </c>
      <c r="I59" s="5" t="s">
        <v>89</v>
      </c>
      <c r="J59" s="5" t="s">
        <v>35</v>
      </c>
      <c r="K59" s="5"/>
    </row>
    <row r="60" customFormat="false" ht="23.85" hidden="false" customHeight="false" outlineLevel="0" collapsed="false">
      <c r="A60" s="7" t="s">
        <v>369</v>
      </c>
      <c r="B60" s="7" t="s">
        <v>182</v>
      </c>
      <c r="C60" s="5" t="s">
        <v>363</v>
      </c>
      <c r="D60" s="6" t="s">
        <v>370</v>
      </c>
      <c r="E60" s="5" t="s">
        <v>371</v>
      </c>
      <c r="F60" s="5" t="s">
        <v>372</v>
      </c>
      <c r="G60" s="5" t="s">
        <v>373</v>
      </c>
      <c r="H60" s="5" t="s">
        <v>368</v>
      </c>
      <c r="I60" s="5" t="s">
        <v>89</v>
      </c>
      <c r="J60" s="5" t="s">
        <v>35</v>
      </c>
      <c r="K60" s="5"/>
    </row>
    <row r="61" customFormat="false" ht="23.85" hidden="false" customHeight="false" outlineLevel="0" collapsed="false">
      <c r="A61" s="7" t="s">
        <v>374</v>
      </c>
      <c r="B61" s="7" t="s">
        <v>182</v>
      </c>
      <c r="C61" s="5" t="s">
        <v>363</v>
      </c>
      <c r="D61" s="6" t="s">
        <v>375</v>
      </c>
      <c r="E61" s="5" t="s">
        <v>376</v>
      </c>
      <c r="F61" s="5" t="s">
        <v>377</v>
      </c>
      <c r="G61" s="5" t="s">
        <v>378</v>
      </c>
      <c r="H61" s="5" t="s">
        <v>368</v>
      </c>
      <c r="I61" s="5" t="s">
        <v>89</v>
      </c>
      <c r="J61" s="5" t="s">
        <v>35</v>
      </c>
      <c r="K61" s="5"/>
    </row>
    <row r="62" customFormat="false" ht="23.85" hidden="false" customHeight="false" outlineLevel="0" collapsed="false">
      <c r="A62" s="7" t="s">
        <v>379</v>
      </c>
      <c r="B62" s="7" t="s">
        <v>182</v>
      </c>
      <c r="C62" s="5" t="s">
        <v>363</v>
      </c>
      <c r="D62" s="6" t="s">
        <v>380</v>
      </c>
      <c r="E62" s="5" t="s">
        <v>381</v>
      </c>
      <c r="F62" s="5" t="s">
        <v>382</v>
      </c>
      <c r="G62" s="5" t="s">
        <v>383</v>
      </c>
      <c r="H62" s="5" t="s">
        <v>368</v>
      </c>
      <c r="I62" s="5" t="s">
        <v>89</v>
      </c>
      <c r="J62" s="5" t="s">
        <v>35</v>
      </c>
      <c r="K62" s="5"/>
    </row>
    <row r="63" customFormat="false" ht="23.85" hidden="false" customHeight="false" outlineLevel="0" collapsed="false">
      <c r="A63" s="7" t="s">
        <v>384</v>
      </c>
      <c r="B63" s="7" t="s">
        <v>182</v>
      </c>
      <c r="C63" s="5" t="s">
        <v>385</v>
      </c>
      <c r="D63" s="6" t="s">
        <v>386</v>
      </c>
      <c r="E63" s="5" t="s">
        <v>387</v>
      </c>
      <c r="F63" s="5" t="s">
        <v>388</v>
      </c>
      <c r="G63" s="5" t="s">
        <v>389</v>
      </c>
      <c r="H63" s="5" t="s">
        <v>47</v>
      </c>
      <c r="I63" s="5" t="s">
        <v>48</v>
      </c>
      <c r="J63" s="5" t="s">
        <v>35</v>
      </c>
      <c r="K63" s="5"/>
    </row>
    <row r="64" customFormat="false" ht="15" hidden="false" customHeight="false" outlineLevel="0" collapsed="false">
      <c r="A64" s="7" t="s">
        <v>390</v>
      </c>
      <c r="B64" s="7" t="s">
        <v>182</v>
      </c>
      <c r="C64" s="5" t="s">
        <v>385</v>
      </c>
      <c r="D64" s="6" t="s">
        <v>391</v>
      </c>
      <c r="E64" s="5" t="s">
        <v>392</v>
      </c>
      <c r="F64" s="5" t="s">
        <v>393</v>
      </c>
      <c r="G64" s="5" t="s">
        <v>394</v>
      </c>
      <c r="H64" s="5" t="s">
        <v>47</v>
      </c>
      <c r="I64" s="5" t="s">
        <v>48</v>
      </c>
      <c r="J64" s="5" t="s">
        <v>35</v>
      </c>
      <c r="K64" s="5"/>
    </row>
    <row r="65" customFormat="false" ht="15" hidden="false" customHeight="false" outlineLevel="0" collapsed="false">
      <c r="A65" s="7" t="s">
        <v>395</v>
      </c>
      <c r="B65" s="7" t="s">
        <v>182</v>
      </c>
      <c r="C65" s="5" t="s">
        <v>396</v>
      </c>
      <c r="D65" s="6" t="s">
        <v>397</v>
      </c>
      <c r="E65" s="5" t="s">
        <v>398</v>
      </c>
      <c r="F65" s="5" t="s">
        <v>399</v>
      </c>
      <c r="G65" s="5" t="s">
        <v>400</v>
      </c>
      <c r="H65" s="5" t="s">
        <v>88</v>
      </c>
      <c r="I65" s="5" t="s">
        <v>89</v>
      </c>
      <c r="J65" s="5" t="s">
        <v>35</v>
      </c>
      <c r="K65" s="5"/>
    </row>
    <row r="66" customFormat="false" ht="23.85" hidden="false" customHeight="false" outlineLevel="0" collapsed="false">
      <c r="A66" s="7" t="s">
        <v>401</v>
      </c>
      <c r="B66" s="7" t="s">
        <v>182</v>
      </c>
      <c r="C66" s="5" t="s">
        <v>402</v>
      </c>
      <c r="D66" s="6" t="s">
        <v>403</v>
      </c>
      <c r="E66" s="5" t="s">
        <v>404</v>
      </c>
      <c r="F66" s="5" t="s">
        <v>405</v>
      </c>
      <c r="G66" s="5" t="s">
        <v>406</v>
      </c>
      <c r="H66" s="5" t="s">
        <v>407</v>
      </c>
      <c r="I66" s="5" t="s">
        <v>89</v>
      </c>
      <c r="J66" s="5" t="s">
        <v>35</v>
      </c>
      <c r="K66" s="5"/>
    </row>
    <row r="67" customFormat="false" ht="23.85" hidden="false" customHeight="false" outlineLevel="0" collapsed="false">
      <c r="A67" s="7" t="s">
        <v>408</v>
      </c>
      <c r="B67" s="7" t="s">
        <v>182</v>
      </c>
      <c r="C67" s="5" t="s">
        <v>402</v>
      </c>
      <c r="D67" s="6" t="s">
        <v>409</v>
      </c>
      <c r="E67" s="5" t="s">
        <v>410</v>
      </c>
      <c r="F67" s="5" t="s">
        <v>411</v>
      </c>
      <c r="G67" s="5" t="s">
        <v>412</v>
      </c>
      <c r="H67" s="5" t="s">
        <v>407</v>
      </c>
      <c r="I67" s="5" t="s">
        <v>89</v>
      </c>
      <c r="J67" s="5" t="s">
        <v>35</v>
      </c>
      <c r="K67" s="5"/>
    </row>
    <row r="68" customFormat="false" ht="23.85" hidden="false" customHeight="false" outlineLevel="0" collapsed="false">
      <c r="A68" s="7" t="s">
        <v>413</v>
      </c>
      <c r="B68" s="7" t="s">
        <v>182</v>
      </c>
      <c r="C68" s="5" t="s">
        <v>396</v>
      </c>
      <c r="D68" s="6" t="s">
        <v>414</v>
      </c>
      <c r="E68" s="5" t="s">
        <v>415</v>
      </c>
      <c r="F68" s="5" t="s">
        <v>416</v>
      </c>
      <c r="G68" s="5" t="s">
        <v>417</v>
      </c>
      <c r="H68" s="5" t="s">
        <v>88</v>
      </c>
      <c r="I68" s="5" t="s">
        <v>89</v>
      </c>
      <c r="J68" s="5" t="s">
        <v>35</v>
      </c>
      <c r="K68" s="5"/>
    </row>
    <row r="69" customFormat="false" ht="23.85" hidden="false" customHeight="false" outlineLevel="0" collapsed="false">
      <c r="A69" s="7" t="s">
        <v>418</v>
      </c>
      <c r="B69" s="7" t="s">
        <v>182</v>
      </c>
      <c r="C69" s="5" t="s">
        <v>151</v>
      </c>
      <c r="D69" s="6" t="s">
        <v>419</v>
      </c>
      <c r="E69" s="5" t="s">
        <v>420</v>
      </c>
      <c r="F69" s="5" t="s">
        <v>421</v>
      </c>
      <c r="G69" s="5" t="s">
        <v>422</v>
      </c>
      <c r="H69" s="5" t="s">
        <v>156</v>
      </c>
      <c r="I69" s="5" t="s">
        <v>34</v>
      </c>
      <c r="J69" s="5" t="s">
        <v>35</v>
      </c>
      <c r="K69" s="5"/>
    </row>
    <row r="70" customFormat="false" ht="23.85" hidden="false" customHeight="false" outlineLevel="0" collapsed="false">
      <c r="A70" s="7" t="s">
        <v>423</v>
      </c>
      <c r="B70" s="7" t="s">
        <v>182</v>
      </c>
      <c r="C70" s="5" t="s">
        <v>151</v>
      </c>
      <c r="D70" s="6" t="s">
        <v>424</v>
      </c>
      <c r="E70" s="5" t="s">
        <v>425</v>
      </c>
      <c r="F70" s="5" t="s">
        <v>426</v>
      </c>
      <c r="G70" s="5" t="s">
        <v>427</v>
      </c>
      <c r="H70" s="5" t="s">
        <v>156</v>
      </c>
      <c r="I70" s="5" t="s">
        <v>34</v>
      </c>
      <c r="J70" s="5" t="s">
        <v>35</v>
      </c>
      <c r="K70" s="5"/>
    </row>
    <row r="71" customFormat="false" ht="15" hidden="false" customHeight="false" outlineLevel="0" collapsed="false">
      <c r="A71" s="7" t="s">
        <v>428</v>
      </c>
      <c r="B71" s="7" t="s">
        <v>182</v>
      </c>
      <c r="C71" s="5" t="s">
        <v>151</v>
      </c>
      <c r="D71" s="6" t="s">
        <v>429</v>
      </c>
      <c r="E71" s="5" t="s">
        <v>430</v>
      </c>
      <c r="F71" s="5" t="s">
        <v>431</v>
      </c>
      <c r="G71" s="5" t="s">
        <v>432</v>
      </c>
      <c r="H71" s="5" t="s">
        <v>433</v>
      </c>
      <c r="I71" s="5" t="s">
        <v>89</v>
      </c>
      <c r="J71" s="5" t="s">
        <v>35</v>
      </c>
      <c r="K71" s="5"/>
    </row>
    <row r="72" customFormat="false" ht="23.85" hidden="false" customHeight="false" outlineLevel="0" collapsed="false">
      <c r="A72" s="7" t="s">
        <v>434</v>
      </c>
      <c r="B72" s="7" t="s">
        <v>182</v>
      </c>
      <c r="C72" s="5" t="s">
        <v>435</v>
      </c>
      <c r="D72" s="6" t="s">
        <v>436</v>
      </c>
      <c r="E72" s="5" t="s">
        <v>437</v>
      </c>
      <c r="F72" s="5" t="s">
        <v>438</v>
      </c>
      <c r="G72" s="5" t="s">
        <v>439</v>
      </c>
      <c r="H72" s="5" t="s">
        <v>407</v>
      </c>
      <c r="I72" s="5" t="s">
        <v>89</v>
      </c>
      <c r="J72" s="5" t="s">
        <v>35</v>
      </c>
      <c r="K72" s="5"/>
    </row>
    <row r="73" customFormat="false" ht="15" hidden="false" customHeight="false" outlineLevel="0" collapsed="false">
      <c r="A73" s="7" t="s">
        <v>440</v>
      </c>
      <c r="B73" s="7" t="s">
        <v>182</v>
      </c>
      <c r="C73" s="5" t="s">
        <v>435</v>
      </c>
      <c r="D73" s="6" t="s">
        <v>441</v>
      </c>
      <c r="E73" s="5" t="s">
        <v>442</v>
      </c>
      <c r="F73" s="5" t="s">
        <v>443</v>
      </c>
      <c r="G73" s="5" t="s">
        <v>444</v>
      </c>
      <c r="H73" s="5" t="s">
        <v>407</v>
      </c>
      <c r="I73" s="5" t="s">
        <v>89</v>
      </c>
      <c r="J73" s="5" t="s">
        <v>35</v>
      </c>
      <c r="K73" s="5"/>
    </row>
    <row r="74" customFormat="false" ht="23.85" hidden="false" customHeight="false" outlineLevel="0" collapsed="false">
      <c r="A74" s="7" t="s">
        <v>445</v>
      </c>
      <c r="B74" s="7" t="s">
        <v>182</v>
      </c>
      <c r="C74" s="5" t="s">
        <v>284</v>
      </c>
      <c r="D74" s="6" t="s">
        <v>446</v>
      </c>
      <c r="E74" s="5" t="s">
        <v>447</v>
      </c>
      <c r="F74" s="5" t="s">
        <v>448</v>
      </c>
      <c r="G74" s="5" t="s">
        <v>449</v>
      </c>
      <c r="H74" s="5" t="s">
        <v>289</v>
      </c>
      <c r="I74" s="5" t="s">
        <v>89</v>
      </c>
      <c r="J74" s="5" t="s">
        <v>35</v>
      </c>
      <c r="K74" s="5"/>
    </row>
    <row r="75" customFormat="false" ht="23.85" hidden="false" customHeight="false" outlineLevel="0" collapsed="false">
      <c r="A75" s="7" t="s">
        <v>450</v>
      </c>
      <c r="B75" s="7" t="s">
        <v>182</v>
      </c>
      <c r="C75" s="5" t="s">
        <v>284</v>
      </c>
      <c r="D75" s="6" t="s">
        <v>451</v>
      </c>
      <c r="E75" s="5" t="s">
        <v>452</v>
      </c>
      <c r="F75" s="5" t="s">
        <v>453</v>
      </c>
      <c r="G75" s="5" t="s">
        <v>454</v>
      </c>
      <c r="H75" s="5" t="s">
        <v>289</v>
      </c>
      <c r="I75" s="5" t="s">
        <v>89</v>
      </c>
      <c r="J75" s="5" t="s">
        <v>35</v>
      </c>
      <c r="K75" s="5"/>
    </row>
    <row r="76" customFormat="false" ht="23.85" hidden="false" customHeight="false" outlineLevel="0" collapsed="false">
      <c r="A76" s="7" t="s">
        <v>455</v>
      </c>
      <c r="B76" s="7" t="s">
        <v>182</v>
      </c>
      <c r="C76" s="5" t="s">
        <v>271</v>
      </c>
      <c r="D76" s="6" t="s">
        <v>456</v>
      </c>
      <c r="E76" s="5" t="s">
        <v>457</v>
      </c>
      <c r="F76" s="5" t="s">
        <v>458</v>
      </c>
      <c r="G76" s="5" t="s">
        <v>459</v>
      </c>
      <c r="H76" s="5" t="s">
        <v>276</v>
      </c>
      <c r="I76" s="5" t="s">
        <v>34</v>
      </c>
      <c r="J76" s="5" t="s">
        <v>35</v>
      </c>
      <c r="K76" s="5"/>
    </row>
    <row r="77" customFormat="false" ht="23.85" hidden="false" customHeight="false" outlineLevel="0" collapsed="false">
      <c r="A77" s="8" t="s">
        <v>460</v>
      </c>
      <c r="B77" s="8" t="s">
        <v>461</v>
      </c>
      <c r="C77" s="5" t="s">
        <v>175</v>
      </c>
      <c r="D77" s="6" t="s">
        <v>462</v>
      </c>
      <c r="E77" s="5" t="s">
        <v>463</v>
      </c>
      <c r="F77" s="5" t="s">
        <v>464</v>
      </c>
      <c r="G77" s="5" t="s">
        <v>465</v>
      </c>
      <c r="H77" s="5" t="s">
        <v>264</v>
      </c>
      <c r="I77" s="5" t="s">
        <v>34</v>
      </c>
      <c r="J77" s="5" t="s">
        <v>35</v>
      </c>
      <c r="K77" s="5"/>
    </row>
    <row r="78" customFormat="false" ht="23.85" hidden="false" customHeight="false" outlineLevel="0" collapsed="false">
      <c r="A78" s="8" t="s">
        <v>466</v>
      </c>
      <c r="B78" s="8" t="s">
        <v>461</v>
      </c>
      <c r="C78" s="5" t="s">
        <v>467</v>
      </c>
      <c r="D78" s="6" t="s">
        <v>468</v>
      </c>
      <c r="E78" s="5" t="s">
        <v>469</v>
      </c>
      <c r="F78" s="5" t="s">
        <v>470</v>
      </c>
      <c r="G78" s="5" t="s">
        <v>471</v>
      </c>
      <c r="H78" s="5" t="s">
        <v>264</v>
      </c>
      <c r="I78" s="5" t="s">
        <v>34</v>
      </c>
      <c r="J78" s="5" t="s">
        <v>35</v>
      </c>
      <c r="K78" s="5"/>
    </row>
    <row r="79" customFormat="false" ht="23.85" hidden="false" customHeight="false" outlineLevel="0" collapsed="false">
      <c r="A79" s="8" t="s">
        <v>472</v>
      </c>
      <c r="B79" s="8" t="s">
        <v>461</v>
      </c>
      <c r="C79" s="5" t="s">
        <v>467</v>
      </c>
      <c r="D79" s="6" t="s">
        <v>473</v>
      </c>
      <c r="E79" s="5" t="s">
        <v>474</v>
      </c>
      <c r="F79" s="5" t="s">
        <v>475</v>
      </c>
      <c r="G79" s="5" t="s">
        <v>476</v>
      </c>
      <c r="H79" s="5" t="s">
        <v>368</v>
      </c>
      <c r="I79" s="5" t="s">
        <v>89</v>
      </c>
      <c r="J79" s="5" t="s">
        <v>35</v>
      </c>
      <c r="K79" s="5"/>
    </row>
    <row r="80" customFormat="false" ht="23.85" hidden="false" customHeight="false" outlineLevel="0" collapsed="false">
      <c r="A80" s="8" t="s">
        <v>477</v>
      </c>
      <c r="B80" s="8" t="s">
        <v>461</v>
      </c>
      <c r="C80" s="5" t="s">
        <v>467</v>
      </c>
      <c r="D80" s="6" t="s">
        <v>478</v>
      </c>
      <c r="E80" s="5" t="s">
        <v>479</v>
      </c>
      <c r="F80" s="5" t="s">
        <v>480</v>
      </c>
      <c r="G80" s="5" t="s">
        <v>481</v>
      </c>
      <c r="H80" s="5" t="s">
        <v>351</v>
      </c>
      <c r="I80" s="5" t="s">
        <v>89</v>
      </c>
      <c r="J80" s="5" t="s">
        <v>35</v>
      </c>
      <c r="K80" s="5"/>
    </row>
    <row r="81" customFormat="false" ht="23.85" hidden="false" customHeight="false" outlineLevel="0" collapsed="false">
      <c r="A81" s="8" t="s">
        <v>482</v>
      </c>
      <c r="B81" s="8" t="s">
        <v>461</v>
      </c>
      <c r="C81" s="5" t="s">
        <v>363</v>
      </c>
      <c r="D81" s="6" t="s">
        <v>483</v>
      </c>
      <c r="E81" s="5" t="s">
        <v>484</v>
      </c>
      <c r="F81" s="5" t="s">
        <v>485</v>
      </c>
      <c r="G81" s="5" t="s">
        <v>486</v>
      </c>
      <c r="H81" s="5" t="s">
        <v>368</v>
      </c>
      <c r="I81" s="5" t="s">
        <v>89</v>
      </c>
      <c r="J81" s="5" t="s">
        <v>35</v>
      </c>
      <c r="K81" s="5"/>
    </row>
    <row r="82" customFormat="false" ht="23.85" hidden="false" customHeight="false" outlineLevel="0" collapsed="false">
      <c r="A82" s="8" t="s">
        <v>487</v>
      </c>
      <c r="B82" s="8" t="s">
        <v>461</v>
      </c>
      <c r="C82" s="5" t="s">
        <v>303</v>
      </c>
      <c r="D82" s="6" t="s">
        <v>488</v>
      </c>
      <c r="E82" s="5" t="s">
        <v>489</v>
      </c>
      <c r="F82" s="5" t="s">
        <v>490</v>
      </c>
      <c r="G82" s="5" t="s">
        <v>491</v>
      </c>
      <c r="H82" s="5" t="s">
        <v>47</v>
      </c>
      <c r="I82" s="5" t="s">
        <v>48</v>
      </c>
      <c r="J82" s="5" t="s">
        <v>35</v>
      </c>
      <c r="K82" s="5"/>
    </row>
    <row r="83" customFormat="false" ht="23.85" hidden="false" customHeight="false" outlineLevel="0" collapsed="false">
      <c r="A83" s="8" t="s">
        <v>492</v>
      </c>
      <c r="B83" s="8" t="s">
        <v>461</v>
      </c>
      <c r="C83" s="5" t="s">
        <v>303</v>
      </c>
      <c r="D83" s="6" t="s">
        <v>493</v>
      </c>
      <c r="E83" s="5" t="s">
        <v>494</v>
      </c>
      <c r="F83" s="5" t="s">
        <v>495</v>
      </c>
      <c r="G83" s="5" t="s">
        <v>496</v>
      </c>
      <c r="H83" s="5" t="s">
        <v>47</v>
      </c>
      <c r="I83" s="5" t="s">
        <v>48</v>
      </c>
      <c r="J83" s="5" t="s">
        <v>35</v>
      </c>
      <c r="K83" s="5"/>
    </row>
    <row r="84" customFormat="false" ht="23.85" hidden="false" customHeight="false" outlineLevel="0" collapsed="false">
      <c r="A84" s="8" t="s">
        <v>497</v>
      </c>
      <c r="B84" s="8" t="s">
        <v>461</v>
      </c>
      <c r="C84" s="5" t="s">
        <v>363</v>
      </c>
      <c r="D84" s="6" t="s">
        <v>498</v>
      </c>
      <c r="E84" s="5" t="s">
        <v>499</v>
      </c>
      <c r="F84" s="5" t="s">
        <v>500</v>
      </c>
      <c r="G84" s="5" t="s">
        <v>501</v>
      </c>
      <c r="H84" s="5" t="s">
        <v>368</v>
      </c>
      <c r="I84" s="5" t="s">
        <v>89</v>
      </c>
      <c r="J84" s="5" t="s">
        <v>35</v>
      </c>
      <c r="K84" s="5"/>
    </row>
    <row r="85" customFormat="false" ht="23.85" hidden="false" customHeight="false" outlineLevel="0" collapsed="false">
      <c r="A85" s="8" t="s">
        <v>502</v>
      </c>
      <c r="B85" s="8" t="s">
        <v>461</v>
      </c>
      <c r="C85" s="5" t="s">
        <v>363</v>
      </c>
      <c r="D85" s="6" t="s">
        <v>503</v>
      </c>
      <c r="E85" s="5" t="s">
        <v>504</v>
      </c>
      <c r="F85" s="5" t="s">
        <v>505</v>
      </c>
      <c r="G85" s="5" t="s">
        <v>506</v>
      </c>
      <c r="H85" s="5" t="s">
        <v>368</v>
      </c>
      <c r="I85" s="5" t="s">
        <v>89</v>
      </c>
      <c r="J85" s="5" t="s">
        <v>35</v>
      </c>
      <c r="K85" s="5"/>
    </row>
    <row r="86" customFormat="false" ht="23.85" hidden="false" customHeight="false" outlineLevel="0" collapsed="false">
      <c r="A86" s="8" t="s">
        <v>507</v>
      </c>
      <c r="B86" s="8" t="s">
        <v>461</v>
      </c>
      <c r="C86" s="5" t="s">
        <v>508</v>
      </c>
      <c r="D86" s="6" t="s">
        <v>509</v>
      </c>
      <c r="E86" s="5" t="s">
        <v>510</v>
      </c>
      <c r="F86" s="5" t="s">
        <v>511</v>
      </c>
      <c r="G86" s="5" t="s">
        <v>512</v>
      </c>
      <c r="H86" s="5" t="s">
        <v>289</v>
      </c>
      <c r="I86" s="5" t="s">
        <v>89</v>
      </c>
      <c r="J86" s="5" t="s">
        <v>35</v>
      </c>
      <c r="K86" s="5"/>
    </row>
    <row r="87" customFormat="false" ht="23.85" hidden="false" customHeight="false" outlineLevel="0" collapsed="false">
      <c r="A87" s="8" t="s">
        <v>513</v>
      </c>
      <c r="B87" s="8" t="s">
        <v>461</v>
      </c>
      <c r="C87" s="5" t="s">
        <v>508</v>
      </c>
      <c r="D87" s="6" t="s">
        <v>514</v>
      </c>
      <c r="E87" s="5" t="s">
        <v>515</v>
      </c>
      <c r="F87" s="5" t="s">
        <v>516</v>
      </c>
      <c r="G87" s="5" t="s">
        <v>517</v>
      </c>
      <c r="H87" s="5" t="s">
        <v>47</v>
      </c>
      <c r="I87" s="5" t="s">
        <v>48</v>
      </c>
      <c r="J87" s="5" t="s">
        <v>35</v>
      </c>
      <c r="K87" s="5"/>
    </row>
    <row r="88" customFormat="false" ht="23.85" hidden="false" customHeight="false" outlineLevel="0" collapsed="false">
      <c r="A88" s="8" t="s">
        <v>518</v>
      </c>
      <c r="B88" s="8" t="s">
        <v>461</v>
      </c>
      <c r="C88" s="5" t="s">
        <v>259</v>
      </c>
      <c r="D88" s="6" t="s">
        <v>519</v>
      </c>
      <c r="E88" s="5" t="s">
        <v>520</v>
      </c>
      <c r="F88" s="5" t="s">
        <v>521</v>
      </c>
      <c r="G88" s="5" t="s">
        <v>522</v>
      </c>
      <c r="H88" s="5" t="s">
        <v>282</v>
      </c>
      <c r="I88" s="5" t="s">
        <v>89</v>
      </c>
      <c r="J88" s="5" t="s">
        <v>35</v>
      </c>
      <c r="K88" s="5"/>
    </row>
    <row r="89" customFormat="false" ht="23.85" hidden="false" customHeight="false" outlineLevel="0" collapsed="false">
      <c r="A89" s="8" t="s">
        <v>523</v>
      </c>
      <c r="B89" s="8" t="s">
        <v>461</v>
      </c>
      <c r="C89" s="5" t="s">
        <v>259</v>
      </c>
      <c r="D89" s="6" t="s">
        <v>524</v>
      </c>
      <c r="E89" s="5" t="s">
        <v>525</v>
      </c>
      <c r="F89" s="5" t="s">
        <v>526</v>
      </c>
      <c r="G89" s="5" t="s">
        <v>527</v>
      </c>
      <c r="H89" s="5" t="s">
        <v>282</v>
      </c>
      <c r="I89" s="5" t="s">
        <v>89</v>
      </c>
      <c r="J89" s="5" t="s">
        <v>35</v>
      </c>
      <c r="K89" s="5"/>
    </row>
    <row r="90" customFormat="false" ht="23.85" hidden="false" customHeight="false" outlineLevel="0" collapsed="false">
      <c r="A90" s="8" t="s">
        <v>528</v>
      </c>
      <c r="B90" s="8" t="s">
        <v>461</v>
      </c>
      <c r="C90" s="5" t="s">
        <v>529</v>
      </c>
      <c r="D90" s="6" t="s">
        <v>530</v>
      </c>
      <c r="E90" s="5" t="s">
        <v>531</v>
      </c>
      <c r="F90" s="5" t="s">
        <v>532</v>
      </c>
      <c r="G90" s="5" t="s">
        <v>533</v>
      </c>
      <c r="H90" s="5" t="s">
        <v>47</v>
      </c>
      <c r="I90" s="5" t="s">
        <v>48</v>
      </c>
      <c r="J90" s="5" t="s">
        <v>35</v>
      </c>
      <c r="K90" s="5"/>
    </row>
    <row r="91" customFormat="false" ht="23.85" hidden="false" customHeight="false" outlineLevel="0" collapsed="false">
      <c r="A91" s="8" t="s">
        <v>534</v>
      </c>
      <c r="B91" s="8" t="s">
        <v>461</v>
      </c>
      <c r="C91" s="5" t="s">
        <v>435</v>
      </c>
      <c r="D91" s="6" t="s">
        <v>535</v>
      </c>
      <c r="E91" s="5" t="s">
        <v>536</v>
      </c>
      <c r="F91" s="5" t="s">
        <v>537</v>
      </c>
      <c r="G91" s="5" t="s">
        <v>538</v>
      </c>
      <c r="H91" s="5" t="s">
        <v>407</v>
      </c>
      <c r="I91" s="5" t="s">
        <v>89</v>
      </c>
      <c r="J91" s="5" t="s">
        <v>35</v>
      </c>
      <c r="K91" s="5"/>
    </row>
    <row r="92" customFormat="false" ht="23.85" hidden="false" customHeight="false" outlineLevel="0" collapsed="false">
      <c r="A92" s="8" t="s">
        <v>539</v>
      </c>
      <c r="B92" s="8" t="s">
        <v>461</v>
      </c>
      <c r="C92" s="5" t="s">
        <v>402</v>
      </c>
      <c r="D92" s="6" t="s">
        <v>540</v>
      </c>
      <c r="E92" s="5" t="s">
        <v>541</v>
      </c>
      <c r="F92" s="5" t="s">
        <v>542</v>
      </c>
      <c r="G92" s="5" t="s">
        <v>543</v>
      </c>
      <c r="H92" s="5" t="s">
        <v>407</v>
      </c>
      <c r="I92" s="5" t="s">
        <v>89</v>
      </c>
      <c r="J92" s="5" t="s">
        <v>35</v>
      </c>
      <c r="K92" s="5"/>
    </row>
    <row r="93" customFormat="false" ht="23.85" hidden="false" customHeight="false" outlineLevel="0" collapsed="false">
      <c r="A93" s="8" t="s">
        <v>544</v>
      </c>
      <c r="B93" s="8" t="s">
        <v>461</v>
      </c>
      <c r="C93" s="5" t="s">
        <v>175</v>
      </c>
      <c r="D93" s="6" t="s">
        <v>545</v>
      </c>
      <c r="E93" s="5" t="s">
        <v>546</v>
      </c>
      <c r="F93" s="5" t="s">
        <v>547</v>
      </c>
      <c r="G93" s="5" t="s">
        <v>548</v>
      </c>
      <c r="H93" s="5" t="s">
        <v>180</v>
      </c>
      <c r="I93" s="5" t="s">
        <v>89</v>
      </c>
      <c r="J93" s="5" t="s">
        <v>35</v>
      </c>
      <c r="K93" s="5"/>
    </row>
    <row r="94" customFormat="false" ht="23.85" hidden="false" customHeight="false" outlineLevel="0" collapsed="false">
      <c r="A94" s="8" t="s">
        <v>549</v>
      </c>
      <c r="B94" s="8" t="s">
        <v>461</v>
      </c>
      <c r="C94" s="5" t="s">
        <v>175</v>
      </c>
      <c r="D94" s="6" t="s">
        <v>550</v>
      </c>
      <c r="E94" s="5" t="s">
        <v>551</v>
      </c>
      <c r="F94" s="5" t="s">
        <v>552</v>
      </c>
      <c r="G94" s="5" t="s">
        <v>553</v>
      </c>
      <c r="H94" s="5" t="s">
        <v>180</v>
      </c>
      <c r="I94" s="5" t="s">
        <v>89</v>
      </c>
      <c r="J94" s="5" t="s">
        <v>35</v>
      </c>
      <c r="K94" s="5"/>
    </row>
    <row r="95" customFormat="false" ht="23.85" hidden="false" customHeight="false" outlineLevel="0" collapsed="false">
      <c r="A95" s="8" t="s">
        <v>554</v>
      </c>
      <c r="B95" s="8" t="s">
        <v>461</v>
      </c>
      <c r="C95" s="5" t="s">
        <v>175</v>
      </c>
      <c r="D95" s="6" t="s">
        <v>555</v>
      </c>
      <c r="E95" s="5" t="s">
        <v>556</v>
      </c>
      <c r="F95" s="5" t="s">
        <v>557</v>
      </c>
      <c r="G95" s="5" t="s">
        <v>558</v>
      </c>
      <c r="H95" s="5" t="s">
        <v>47</v>
      </c>
      <c r="I95" s="5" t="s">
        <v>48</v>
      </c>
      <c r="J95" s="5" t="s">
        <v>35</v>
      </c>
      <c r="K95" s="5"/>
    </row>
    <row r="96" customFormat="false" ht="23.85" hidden="false" customHeight="false" outlineLevel="0" collapsed="false">
      <c r="A96" s="8" t="s">
        <v>559</v>
      </c>
      <c r="B96" s="8" t="s">
        <v>461</v>
      </c>
      <c r="C96" s="5" t="s">
        <v>560</v>
      </c>
      <c r="D96" s="6" t="s">
        <v>561</v>
      </c>
      <c r="E96" s="5" t="s">
        <v>562</v>
      </c>
      <c r="F96" s="5" t="s">
        <v>563</v>
      </c>
      <c r="G96" s="5" t="s">
        <v>564</v>
      </c>
      <c r="H96" s="5" t="s">
        <v>276</v>
      </c>
      <c r="I96" s="5" t="s">
        <v>34</v>
      </c>
      <c r="J96" s="5" t="s">
        <v>35</v>
      </c>
      <c r="K96" s="5"/>
    </row>
    <row r="97" customFormat="false" ht="23.85" hidden="false" customHeight="false" outlineLevel="0" collapsed="false">
      <c r="A97" s="8" t="s">
        <v>565</v>
      </c>
      <c r="B97" s="8" t="s">
        <v>461</v>
      </c>
      <c r="C97" s="5" t="s">
        <v>529</v>
      </c>
      <c r="D97" s="6" t="s">
        <v>566</v>
      </c>
      <c r="E97" s="5" t="s">
        <v>567</v>
      </c>
      <c r="F97" s="5" t="s">
        <v>568</v>
      </c>
      <c r="G97" s="5" t="s">
        <v>569</v>
      </c>
      <c r="H97" s="5" t="s">
        <v>276</v>
      </c>
      <c r="I97" s="5" t="s">
        <v>34</v>
      </c>
      <c r="J97" s="5" t="s">
        <v>35</v>
      </c>
      <c r="K97" s="5"/>
    </row>
    <row r="98" customFormat="false" ht="23.85" hidden="false" customHeight="false" outlineLevel="0" collapsed="false">
      <c r="A98" s="8" t="s">
        <v>570</v>
      </c>
      <c r="B98" s="8" t="s">
        <v>461</v>
      </c>
      <c r="C98" s="5" t="s">
        <v>346</v>
      </c>
      <c r="D98" s="6" t="s">
        <v>571</v>
      </c>
      <c r="E98" s="5" t="s">
        <v>572</v>
      </c>
      <c r="F98" s="5" t="s">
        <v>573</v>
      </c>
      <c r="G98" s="5" t="s">
        <v>574</v>
      </c>
      <c r="H98" s="5" t="s">
        <v>351</v>
      </c>
      <c r="I98" s="5" t="s">
        <v>89</v>
      </c>
      <c r="J98" s="5" t="s">
        <v>35</v>
      </c>
      <c r="K98" s="5"/>
    </row>
    <row r="99" customFormat="false" ht="23.85" hidden="false" customHeight="false" outlineLevel="0" collapsed="false">
      <c r="A99" s="8" t="s">
        <v>575</v>
      </c>
      <c r="B99" s="8" t="s">
        <v>461</v>
      </c>
      <c r="C99" s="5" t="s">
        <v>576</v>
      </c>
      <c r="D99" s="6" t="s">
        <v>577</v>
      </c>
      <c r="E99" s="5" t="s">
        <v>578</v>
      </c>
      <c r="F99" s="5" t="s">
        <v>579</v>
      </c>
      <c r="G99" s="5" t="s">
        <v>580</v>
      </c>
      <c r="H99" s="5" t="s">
        <v>581</v>
      </c>
      <c r="I99" s="5" t="s">
        <v>89</v>
      </c>
      <c r="J99" s="5" t="s">
        <v>35</v>
      </c>
      <c r="K99" s="5"/>
    </row>
    <row r="100" customFormat="false" ht="23.85" hidden="false" customHeight="false" outlineLevel="0" collapsed="false">
      <c r="A100" s="8" t="s">
        <v>582</v>
      </c>
      <c r="B100" s="8" t="s">
        <v>461</v>
      </c>
      <c r="C100" s="5" t="s">
        <v>583</v>
      </c>
      <c r="D100" s="6" t="s">
        <v>584</v>
      </c>
      <c r="E100" s="5" t="s">
        <v>585</v>
      </c>
      <c r="F100" s="5" t="s">
        <v>586</v>
      </c>
      <c r="G100" s="5" t="s">
        <v>587</v>
      </c>
      <c r="H100" s="5" t="s">
        <v>588</v>
      </c>
      <c r="I100" s="5" t="s">
        <v>34</v>
      </c>
      <c r="J100" s="5" t="s">
        <v>35</v>
      </c>
      <c r="K100" s="5"/>
    </row>
    <row r="101" customFormat="false" ht="23.85" hidden="false" customHeight="false" outlineLevel="0" collapsed="false">
      <c r="A101" s="8" t="s">
        <v>589</v>
      </c>
      <c r="B101" s="8" t="s">
        <v>461</v>
      </c>
      <c r="C101" s="5" t="s">
        <v>284</v>
      </c>
      <c r="D101" s="6" t="s">
        <v>590</v>
      </c>
      <c r="E101" s="5" t="s">
        <v>591</v>
      </c>
      <c r="F101" s="5" t="s">
        <v>592</v>
      </c>
      <c r="G101" s="5" t="s">
        <v>593</v>
      </c>
      <c r="H101" s="5" t="s">
        <v>289</v>
      </c>
      <c r="I101" s="5" t="s">
        <v>89</v>
      </c>
      <c r="J101" s="5" t="s">
        <v>35</v>
      </c>
      <c r="K101" s="5"/>
    </row>
  </sheetData>
  <autoFilter ref="A1:K101"/>
  <conditionalFormatting sqref="J2:J101">
    <cfRule type="expression" priority="2" aboveAverage="0" equalAverage="0" bottom="0" percent="0" rank="0" text="" dxfId="7">
      <formula>$J2="Đã xử lý"</formula>
    </cfRule>
    <cfRule type="expression" priority="3" aboveAverage="0" equalAverage="0" bottom="0" percent="0" rank="0" text="" dxfId="8">
      <formula>$J2="Đang làm"</formula>
    </cfRule>
    <cfRule type="expression" priority="4" aboveAverage="0" equalAverage="0" bottom="0" percent="0" rank="0" text="" dxfId="9">
      <formula>$J2="Cần ôn lại"</formula>
    </cfRule>
  </conditionalFormatting>
  <conditionalFormatting sqref="I2:I101">
    <cfRule type="expression" priority="5" aboveAverage="0" equalAverage="0" bottom="0" percent="0" rank="0" text="" dxfId="10">
      <formula>$I2="Cao"</formula>
    </cfRule>
  </conditionalFormatting>
  <dataValidations count="1">
    <dataValidation allowBlank="false" errorStyle="stop" operator="between" showDropDown="false" showErrorMessage="false" showInputMessage="false" sqref="J2:J101" type="list">
      <formula1>"Chưa làm,Đang làm,Đã xử lý,Cần ôn lại"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9" t="s">
        <v>594</v>
      </c>
    </row>
    <row r="3" customFormat="false" ht="15" hidden="false" customHeight="false" outlineLevel="0" collapsed="false">
      <c r="A3" s="10" t="s">
        <v>16</v>
      </c>
      <c r="B3" s="10" t="s">
        <v>595</v>
      </c>
      <c r="C3" s="10" t="s">
        <v>596</v>
      </c>
      <c r="D3" s="10" t="s">
        <v>597</v>
      </c>
      <c r="E3" s="10" t="s">
        <v>598</v>
      </c>
      <c r="F3" s="10" t="s">
        <v>35</v>
      </c>
      <c r="G3" s="10" t="s">
        <v>599</v>
      </c>
    </row>
    <row r="4" customFormat="false" ht="15" hidden="false" customHeight="false" outlineLevel="0" collapsed="false">
      <c r="A4" s="11" t="s">
        <v>27</v>
      </c>
      <c r="B4" s="11" t="n">
        <f aca="false">COUNTIF('100 Case'!$B$2:$B$101,A4)</f>
        <v>25</v>
      </c>
      <c r="C4" s="11" t="n">
        <f aca="false">COUNTIFS('100 Case'!$B$2:$B$101,$A4,'100 Case'!$J$2:$J$101,"Đã xử lý")</f>
        <v>0</v>
      </c>
      <c r="D4" s="11" t="n">
        <f aca="false">COUNTIFS('100 Case'!$B$2:$B$101,$A4,'100 Case'!$J$2:$J$101,"Đang làm")</f>
        <v>0</v>
      </c>
      <c r="E4" s="11" t="n">
        <f aca="false">COUNTIFS('100 Case'!$B$2:$B$101,$A4,'100 Case'!$J$2:$J$101,"Cần ôn lại")</f>
        <v>0</v>
      </c>
      <c r="F4" s="11" t="n">
        <f aca="false">COUNTIFS('100 Case'!$B$2:$B$101,$A4,'100 Case'!$J$2:$J$101,"Chưa làm")</f>
        <v>25</v>
      </c>
      <c r="G4" s="12" t="n">
        <f aca="false">IF(B4=0,0,C4/B4)</f>
        <v>0</v>
      </c>
    </row>
    <row r="5" customFormat="false" ht="15" hidden="false" customHeight="false" outlineLevel="0" collapsed="false">
      <c r="A5" s="11" t="s">
        <v>182</v>
      </c>
      <c r="B5" s="11" t="n">
        <f aca="false">COUNTIF('100 Case'!$B$2:$B$101,A5)</f>
        <v>50</v>
      </c>
      <c r="C5" s="11" t="n">
        <f aca="false">COUNTIFS('100 Case'!$B$2:$B$101,$A5,'100 Case'!$J$2:$J$101,"Đã xử lý")</f>
        <v>0</v>
      </c>
      <c r="D5" s="11" t="n">
        <f aca="false">COUNTIFS('100 Case'!$B$2:$B$101,$A5,'100 Case'!$J$2:$J$101,"Đang làm")</f>
        <v>0</v>
      </c>
      <c r="E5" s="11" t="n">
        <f aca="false">COUNTIFS('100 Case'!$B$2:$B$101,$A5,'100 Case'!$J$2:$J$101,"Cần ôn lại")</f>
        <v>0</v>
      </c>
      <c r="F5" s="11" t="n">
        <f aca="false">COUNTIFS('100 Case'!$B$2:$B$101,$A5,'100 Case'!$J$2:$J$101,"Chưa làm")</f>
        <v>50</v>
      </c>
      <c r="G5" s="12" t="n">
        <f aca="false">IF(B5=0,0,C5/B5)</f>
        <v>0</v>
      </c>
    </row>
    <row r="6" customFormat="false" ht="15" hidden="false" customHeight="false" outlineLevel="0" collapsed="false">
      <c r="A6" s="11" t="s">
        <v>461</v>
      </c>
      <c r="B6" s="11" t="n">
        <f aca="false">COUNTIF('100 Case'!$B$2:$B$101,A6)</f>
        <v>25</v>
      </c>
      <c r="C6" s="11" t="n">
        <f aca="false">COUNTIFS('100 Case'!$B$2:$B$101,$A6,'100 Case'!$J$2:$J$101,"Đã xử lý")</f>
        <v>0</v>
      </c>
      <c r="D6" s="11" t="n">
        <f aca="false">COUNTIFS('100 Case'!$B$2:$B$101,$A6,'100 Case'!$J$2:$J$101,"Đang làm")</f>
        <v>0</v>
      </c>
      <c r="E6" s="11" t="n">
        <f aca="false">COUNTIFS('100 Case'!$B$2:$B$101,$A6,'100 Case'!$J$2:$J$101,"Cần ôn lại")</f>
        <v>0</v>
      </c>
      <c r="F6" s="11" t="n">
        <f aca="false">COUNTIFS('100 Case'!$B$2:$B$101,$A6,'100 Case'!$J$2:$J$101,"Chưa làm")</f>
        <v>25</v>
      </c>
      <c r="G6" s="12" t="n">
        <f aca="false">IF(B6=0,0,C6/B6)</f>
        <v>0</v>
      </c>
    </row>
    <row r="7" customFormat="false" ht="15" hidden="false" customHeight="false" outlineLevel="0" collapsed="false">
      <c r="A7" s="13" t="s">
        <v>595</v>
      </c>
      <c r="B7" s="13" t="n">
        <f aca="false">SUM(B4:B6)</f>
        <v>100</v>
      </c>
      <c r="C7" s="13" t="n">
        <f aca="false">SUM(C4:C6)</f>
        <v>0</v>
      </c>
      <c r="D7" s="13" t="n">
        <f aca="false">SUM(D4:D6)</f>
        <v>0</v>
      </c>
      <c r="E7" s="13" t="n">
        <f aca="false">SUM(E4:E6)</f>
        <v>0</v>
      </c>
      <c r="F7" s="13" t="n">
        <f aca="false">SUM(F4:F6)</f>
        <v>100</v>
      </c>
      <c r="G7" s="14" t="n">
        <f aca="false">IF(B7=0,0,C7/B7)</f>
        <v>0</v>
      </c>
    </row>
    <row r="9" customFormat="false" ht="15" hidden="false" customHeight="false" outlineLevel="0" collapsed="false">
      <c r="A9" s="15" t="s">
        <v>600</v>
      </c>
      <c r="D9" s="16" t="n">
        <f aca="false">COUNTIFS('100 Case'!$I$2:$I$101,"Cao",'100 Case'!$J$2:$J$101,"&lt;&gt;Đã xử lý")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2026-10-25T13:52:06Z</dcterms:created>
  <dc:creator>openpyxl</dc:creator>
  <dc:description/>
  <dc:language>en-US</dc:language>
  <cp:lastModifiedBy/>
  <dcterms:modified xsi:type="dcterms:W3CDTF">2026-10-25T13:52:06Z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